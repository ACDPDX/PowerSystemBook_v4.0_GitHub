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fried\Documents\PowerSystemBook_v4.0\ltspice\examples\07_Coupled_lines_resonance\"/>
    </mc:Choice>
  </mc:AlternateContent>
  <xr:revisionPtr revIDLastSave="0" documentId="13_ncr:1_{598B8FC7-9620-439A-994D-61C6188D97A5}" xr6:coauthVersionLast="36" xr6:coauthVersionMax="36" xr10:uidLastSave="{00000000-0000-0000-0000-000000000000}"/>
  <bookViews>
    <workbookView xWindow="0" yWindow="0" windowWidth="27945" windowHeight="12180" firstSheet="1" activeTab="1" xr2:uid="{00000000-000D-0000-FFFF-FFFF00000000}"/>
  </bookViews>
  <sheets>
    <sheet name="ATP-Cable_3phase_Bergeron" sheetId="8" r:id="rId1"/>
    <sheet name="ATP-Overheadline_6phase_Pi" sheetId="4" r:id="rId2"/>
  </sheets>
  <calcPr calcId="191029"/>
</workbook>
</file>

<file path=xl/calcChain.xml><?xml version="1.0" encoding="utf-8"?>
<calcChain xmlns="http://schemas.openxmlformats.org/spreadsheetml/2006/main">
  <c r="K77" i="8" l="1"/>
  <c r="P81" i="8"/>
  <c r="P80" i="8"/>
  <c r="O82" i="8"/>
  <c r="O80" i="8"/>
  <c r="N82" i="8"/>
  <c r="P78" i="8"/>
  <c r="P77" i="8"/>
  <c r="O79" i="8"/>
  <c r="O77" i="8"/>
  <c r="N79" i="8"/>
  <c r="N78" i="8"/>
  <c r="N81" i="8"/>
  <c r="P82" i="8"/>
  <c r="O81" i="8"/>
  <c r="P79" i="8"/>
  <c r="O78" i="8"/>
  <c r="N77" i="8"/>
  <c r="N80" i="8"/>
  <c r="M81" i="8"/>
  <c r="M80" i="8"/>
  <c r="L82" i="8"/>
  <c r="L80" i="8"/>
  <c r="K82" i="8"/>
  <c r="K81" i="8"/>
  <c r="M82" i="8"/>
  <c r="L81" i="8"/>
  <c r="L79" i="8"/>
  <c r="K79" i="8"/>
  <c r="M78" i="8"/>
  <c r="M77" i="8"/>
  <c r="L77" i="8"/>
  <c r="M79" i="8"/>
  <c r="L78" i="8"/>
  <c r="K80" i="8"/>
  <c r="K78" i="8"/>
  <c r="K11" i="8" l="1"/>
  <c r="K26" i="8" s="1"/>
  <c r="M11" i="8"/>
  <c r="O11" i="8"/>
  <c r="Q11" i="8"/>
  <c r="Q26" i="8" s="1"/>
  <c r="S11" i="8"/>
  <c r="Q27" i="8" s="1"/>
  <c r="U11" i="8"/>
  <c r="K12" i="8"/>
  <c r="K27" i="8" s="1"/>
  <c r="M12" i="8"/>
  <c r="O12" i="8"/>
  <c r="Q12" i="8"/>
  <c r="S12" i="8"/>
  <c r="U12" i="8"/>
  <c r="K13" i="8"/>
  <c r="M13" i="8"/>
  <c r="O13" i="8"/>
  <c r="Q13" i="8"/>
  <c r="S13" i="8"/>
  <c r="U13" i="8"/>
  <c r="K14" i="8"/>
  <c r="M14" i="8"/>
  <c r="O14" i="8"/>
  <c r="Q14" i="8"/>
  <c r="S14" i="8"/>
  <c r="U14" i="8"/>
  <c r="K15" i="8"/>
  <c r="K30" i="8" s="1"/>
  <c r="M15" i="8"/>
  <c r="O15" i="8"/>
  <c r="Q15" i="8"/>
  <c r="Q30" i="8" s="1"/>
  <c r="S15" i="8"/>
  <c r="U15" i="8"/>
  <c r="K16" i="8"/>
  <c r="M16" i="8"/>
  <c r="O16" i="8"/>
  <c r="Q16" i="8"/>
  <c r="S16" i="8"/>
  <c r="U16" i="8"/>
  <c r="K17" i="8"/>
  <c r="K18" i="8"/>
  <c r="J20" i="8"/>
  <c r="K21" i="8"/>
  <c r="J22" i="8"/>
  <c r="K29" i="8"/>
  <c r="M30" i="8" s="1"/>
  <c r="Q29" i="8"/>
  <c r="S30" i="8" s="1"/>
  <c r="K43" i="8"/>
  <c r="L43" i="8"/>
  <c r="L68" i="8" s="1"/>
  <c r="S46" i="8" s="1"/>
  <c r="AD55" i="8" s="1"/>
  <c r="M43" i="8"/>
  <c r="O43" i="8"/>
  <c r="P43" i="8"/>
  <c r="P68" i="8" s="1"/>
  <c r="K44" i="8"/>
  <c r="L44" i="8"/>
  <c r="M44" i="8"/>
  <c r="M69" i="8" s="1"/>
  <c r="P44" i="8"/>
  <c r="P69" i="8" s="1"/>
  <c r="K45" i="8"/>
  <c r="L45" i="8"/>
  <c r="M45" i="8"/>
  <c r="K46" i="8"/>
  <c r="N43" i="8" s="1"/>
  <c r="N68" i="8" s="1"/>
  <c r="L46" i="8"/>
  <c r="N44" i="8" s="1"/>
  <c r="N69" i="8" s="1"/>
  <c r="M46" i="8"/>
  <c r="N45" i="8" s="1"/>
  <c r="N70" i="8" s="1"/>
  <c r="N46" i="8"/>
  <c r="O46" i="8"/>
  <c r="K47" i="8"/>
  <c r="L47" i="8"/>
  <c r="O44" i="8" s="1"/>
  <c r="O69" i="8" s="1"/>
  <c r="M47" i="8"/>
  <c r="O45" i="8" s="1"/>
  <c r="O70" i="8" s="1"/>
  <c r="N47" i="8"/>
  <c r="O47" i="8"/>
  <c r="K48" i="8"/>
  <c r="L48" i="8"/>
  <c r="M48" i="8"/>
  <c r="P45" i="8" s="1"/>
  <c r="P70" i="8" s="1"/>
  <c r="N48" i="8"/>
  <c r="P46" i="8" s="1"/>
  <c r="P71" i="8" s="1"/>
  <c r="O48" i="8"/>
  <c r="P47" i="8" s="1"/>
  <c r="P72" i="8" s="1"/>
  <c r="P48" i="8"/>
  <c r="K51" i="8"/>
  <c r="N51" i="8"/>
  <c r="L52" i="8"/>
  <c r="O52" i="8"/>
  <c r="M53" i="8"/>
  <c r="P53" i="8"/>
  <c r="K54" i="8"/>
  <c r="N54" i="8"/>
  <c r="L55" i="8"/>
  <c r="O55" i="8"/>
  <c r="M56" i="8"/>
  <c r="P56" i="8"/>
  <c r="K59" i="8"/>
  <c r="S60" i="8" s="1"/>
  <c r="L59" i="8"/>
  <c r="O59" i="8"/>
  <c r="K60" i="8"/>
  <c r="L60" i="8"/>
  <c r="N60" i="8"/>
  <c r="O60" i="8"/>
  <c r="K61" i="8"/>
  <c r="M59" i="8" s="1"/>
  <c r="L61" i="8"/>
  <c r="M60" i="8" s="1"/>
  <c r="M61" i="8"/>
  <c r="N61" i="8"/>
  <c r="O61" i="8"/>
  <c r="K62" i="8"/>
  <c r="N59" i="8" s="1"/>
  <c r="S42" i="8" s="1"/>
  <c r="L62" i="8"/>
  <c r="M62" i="8"/>
  <c r="N62" i="8"/>
  <c r="K63" i="8"/>
  <c r="L63" i="8"/>
  <c r="M63" i="8"/>
  <c r="N63" i="8"/>
  <c r="O62" i="8" s="1"/>
  <c r="O63" i="8"/>
  <c r="P63" i="8"/>
  <c r="K64" i="8"/>
  <c r="P59" i="8" s="1"/>
  <c r="L64" i="8"/>
  <c r="P60" i="8" s="1"/>
  <c r="M64" i="8"/>
  <c r="P61" i="8" s="1"/>
  <c r="N64" i="8"/>
  <c r="P62" i="8" s="1"/>
  <c r="O64" i="8"/>
  <c r="P64" i="8"/>
  <c r="K68" i="8"/>
  <c r="S64" i="8" s="1"/>
  <c r="AD72" i="8" s="1"/>
  <c r="M68" i="8"/>
  <c r="O68" i="8"/>
  <c r="K69" i="8"/>
  <c r="L69" i="8"/>
  <c r="K70" i="8"/>
  <c r="L70" i="8"/>
  <c r="M70" i="8"/>
  <c r="L71" i="8"/>
  <c r="M71" i="8"/>
  <c r="N71" i="8"/>
  <c r="O71" i="8"/>
  <c r="S48" i="8" s="1"/>
  <c r="K72" i="8"/>
  <c r="L72" i="8"/>
  <c r="N72" i="8"/>
  <c r="O72" i="8"/>
  <c r="S66" i="8" s="1"/>
  <c r="K73" i="8"/>
  <c r="L73" i="8"/>
  <c r="N73" i="8"/>
  <c r="O73" i="8"/>
  <c r="P73" i="8"/>
  <c r="AB72" i="8" l="1"/>
  <c r="S68" i="8"/>
  <c r="U30" i="8"/>
  <c r="Q31" i="8"/>
  <c r="S31" i="8"/>
  <c r="S29" i="8"/>
  <c r="U29" i="8"/>
  <c r="S47" i="8"/>
  <c r="S28" i="8"/>
  <c r="U26" i="8"/>
  <c r="S26" i="8"/>
  <c r="Q28" i="8"/>
  <c r="U27" i="8"/>
  <c r="O30" i="8"/>
  <c r="K31" i="8"/>
  <c r="M29" i="8"/>
  <c r="O29" i="8" s="1"/>
  <c r="M31" i="8"/>
  <c r="S27" i="8"/>
  <c r="U28" i="8"/>
  <c r="S43" i="8"/>
  <c r="S52" i="8" s="1"/>
  <c r="S51" i="8"/>
  <c r="O27" i="8"/>
  <c r="K28" i="8"/>
  <c r="M28" i="8" s="1"/>
  <c r="M26" i="8"/>
  <c r="O26" i="8"/>
  <c r="O28" i="8"/>
  <c r="M27" i="8"/>
  <c r="S62" i="8"/>
  <c r="S70" i="8" s="1"/>
  <c r="M72" i="8"/>
  <c r="S41" i="8"/>
  <c r="S61" i="8"/>
  <c r="U31" i="8"/>
  <c r="M73" i="8"/>
  <c r="K71" i="8"/>
  <c r="S65" i="8" s="1"/>
  <c r="O31" i="8"/>
  <c r="AJ20" i="4"/>
  <c r="AH20" i="4"/>
  <c r="AH19" i="4"/>
  <c r="AF20" i="4"/>
  <c r="AF19" i="4"/>
  <c r="AF18" i="4"/>
  <c r="AD20" i="4"/>
  <c r="AD19" i="4"/>
  <c r="AD18" i="4"/>
  <c r="AB20" i="4"/>
  <c r="AB19" i="4"/>
  <c r="AB18" i="4"/>
  <c r="AF17" i="4"/>
  <c r="AH18" i="4" s="1"/>
  <c r="AJ19" i="4" s="1"/>
  <c r="AL20" i="4" s="1"/>
  <c r="AD16" i="4"/>
  <c r="AD17" i="4"/>
  <c r="AB17" i="4"/>
  <c r="AB16" i="4"/>
  <c r="AB15" i="4"/>
  <c r="AB12" i="4"/>
  <c r="AF13" i="4" s="1"/>
  <c r="AF46" i="4"/>
  <c r="AB10" i="4" s="1"/>
  <c r="AB11" i="4" s="1"/>
  <c r="AD11" i="4" s="1"/>
  <c r="AG46" i="4"/>
  <c r="AH46" i="4"/>
  <c r="AI46" i="4"/>
  <c r="AJ46" i="4"/>
  <c r="AK46" i="4"/>
  <c r="AF47" i="4"/>
  <c r="AG47" i="4"/>
  <c r="AH47" i="4"/>
  <c r="AI47" i="4"/>
  <c r="AJ47" i="4"/>
  <c r="AK47" i="4"/>
  <c r="AF48" i="4"/>
  <c r="AG48" i="4"/>
  <c r="AH48" i="4"/>
  <c r="AI48" i="4"/>
  <c r="AH12" i="4" s="1"/>
  <c r="AJ48" i="4"/>
  <c r="AK48" i="4"/>
  <c r="AF49" i="4"/>
  <c r="AG49" i="4"/>
  <c r="AH49" i="4"/>
  <c r="AI49" i="4"/>
  <c r="AH13" i="4" s="1"/>
  <c r="AH14" i="4" s="1"/>
  <c r="AJ14" i="4" s="1"/>
  <c r="AJ49" i="4"/>
  <c r="AK49" i="4"/>
  <c r="AF50" i="4"/>
  <c r="AG50" i="4"/>
  <c r="AH50" i="4"/>
  <c r="AI50" i="4"/>
  <c r="AJ50" i="4"/>
  <c r="AK50" i="4"/>
  <c r="AG45" i="4"/>
  <c r="AH45" i="4"/>
  <c r="AI45" i="4"/>
  <c r="AJ45" i="4"/>
  <c r="AK45" i="4"/>
  <c r="AF45" i="4"/>
  <c r="AB9" i="4" s="1"/>
  <c r="AB54" i="8" l="1"/>
  <c r="AD54" i="8"/>
  <c r="S69" i="8"/>
  <c r="AB55" i="8"/>
  <c r="S50" i="8"/>
  <c r="AJ13" i="4"/>
  <c r="AL14" i="4"/>
  <c r="AF11" i="4"/>
  <c r="AD10" i="4"/>
  <c r="AD13" i="4"/>
  <c r="AD12" i="4"/>
  <c r="AF12" i="4" s="1"/>
  <c r="AF14" i="4"/>
  <c r="AB13" i="4"/>
  <c r="AB14" i="4"/>
  <c r="AD14" i="4"/>
  <c r="AB71" i="8" l="1"/>
  <c r="AD71" i="8"/>
  <c r="M72" i="4" l="1"/>
  <c r="M52" i="4" l="1"/>
  <c r="M50" i="4"/>
  <c r="M48" i="4"/>
  <c r="M46" i="4"/>
  <c r="M43" i="4"/>
  <c r="P39" i="4"/>
  <c r="S35" i="4"/>
  <c r="P43" i="4" s="1"/>
  <c r="P35" i="4"/>
  <c r="V31" i="4"/>
  <c r="X29" i="4" s="1"/>
  <c r="S26" i="4"/>
  <c r="M25" i="4"/>
  <c r="M31" i="4" s="1"/>
  <c r="M24" i="4"/>
  <c r="M23" i="4"/>
  <c r="M30" i="4" s="1"/>
  <c r="X20" i="4"/>
  <c r="X31" i="4" s="1"/>
  <c r="V20" i="4"/>
  <c r="M57" i="4" s="1"/>
  <c r="T20" i="4"/>
  <c r="M56" i="4" s="1"/>
  <c r="R20" i="4"/>
  <c r="U31" i="4" s="1"/>
  <c r="X28" i="4" s="1"/>
  <c r="P20" i="4"/>
  <c r="M51" i="4" s="1"/>
  <c r="N20" i="4"/>
  <c r="M47" i="4" s="1"/>
  <c r="V19" i="4"/>
  <c r="W30" i="4" s="1"/>
  <c r="T19" i="4"/>
  <c r="V30" i="4" s="1"/>
  <c r="W29" i="4" s="1"/>
  <c r="R19" i="4"/>
  <c r="M53" i="4" s="1"/>
  <c r="P19" i="4"/>
  <c r="T30" i="4" s="1"/>
  <c r="W27" i="4" s="1"/>
  <c r="N19" i="4"/>
  <c r="S30" i="4" s="1"/>
  <c r="W26" i="4" s="1"/>
  <c r="T18" i="4"/>
  <c r="V29" i="4" s="1"/>
  <c r="R18" i="4"/>
  <c r="U29" i="4" s="1"/>
  <c r="V28" i="4" s="1"/>
  <c r="P18" i="4"/>
  <c r="M49" i="4" s="1"/>
  <c r="N18" i="4"/>
  <c r="S29" i="4" s="1"/>
  <c r="V26" i="4" s="1"/>
  <c r="R17" i="4"/>
  <c r="U28" i="4" s="1"/>
  <c r="P17" i="4"/>
  <c r="T28" i="4" s="1"/>
  <c r="U27" i="4" s="1"/>
  <c r="N17" i="4"/>
  <c r="S28" i="4" s="1"/>
  <c r="U26" i="4" s="1"/>
  <c r="P16" i="4"/>
  <c r="T27" i="4" s="1"/>
  <c r="N16" i="4"/>
  <c r="S27" i="4" s="1"/>
  <c r="T26" i="4" s="1"/>
  <c r="N15" i="4"/>
  <c r="X14" i="4"/>
  <c r="P40" i="4" s="1"/>
  <c r="V14" i="4"/>
  <c r="W39" i="4" s="1"/>
  <c r="T14" i="4"/>
  <c r="V39" i="4" s="1"/>
  <c r="R14" i="4"/>
  <c r="U39" i="4" s="1"/>
  <c r="P14" i="4"/>
  <c r="T39" i="4" s="1"/>
  <c r="N14" i="4"/>
  <c r="S39" i="4" s="1"/>
  <c r="P47" i="4" s="1"/>
  <c r="V13" i="4"/>
  <c r="W38" i="4" s="1"/>
  <c r="T13" i="4"/>
  <c r="V38" i="4" s="1"/>
  <c r="R13" i="4"/>
  <c r="U38" i="4" s="1"/>
  <c r="P53" i="4" s="1"/>
  <c r="P13" i="4"/>
  <c r="T38" i="4" s="1"/>
  <c r="N13" i="4"/>
  <c r="S38" i="4" s="1"/>
  <c r="T12" i="4"/>
  <c r="P38" i="4" s="1"/>
  <c r="R12" i="4"/>
  <c r="U37" i="4" s="1"/>
  <c r="V36" i="4" s="1"/>
  <c r="P12" i="4"/>
  <c r="T37" i="4" s="1"/>
  <c r="N12" i="4"/>
  <c r="S37" i="4" s="1"/>
  <c r="R11" i="4"/>
  <c r="U36" i="4" s="1"/>
  <c r="P11" i="4"/>
  <c r="T36" i="4" s="1"/>
  <c r="N11" i="4"/>
  <c r="S36" i="4" s="1"/>
  <c r="P10" i="4"/>
  <c r="P36" i="4" s="1"/>
  <c r="N10" i="4"/>
  <c r="N9" i="4"/>
  <c r="S34" i="4" s="1"/>
  <c r="N8" i="4"/>
  <c r="X8" i="4" s="1"/>
  <c r="M54" i="4" l="1"/>
  <c r="T29" i="4"/>
  <c r="V27" i="4" s="1"/>
  <c r="S31" i="4"/>
  <c r="X26" i="4" s="1"/>
  <c r="M35" i="4"/>
  <c r="W31" i="4"/>
  <c r="X30" i="4" s="1"/>
  <c r="X38" i="4"/>
  <c r="P57" i="4"/>
  <c r="V34" i="4"/>
  <c r="P45" i="4"/>
  <c r="P37" i="4"/>
  <c r="M32" i="4"/>
  <c r="P66" i="4" s="1"/>
  <c r="V37" i="4"/>
  <c r="P41" i="4"/>
  <c r="U54" i="4" s="1"/>
  <c r="X39" i="4"/>
  <c r="AB49" i="4"/>
  <c r="V83" i="4" s="1"/>
  <c r="W35" i="4"/>
  <c r="P50" i="4"/>
  <c r="P63" i="4" s="1"/>
  <c r="X82" i="4" s="1"/>
  <c r="W65" i="4"/>
  <c r="X64" i="4" s="1"/>
  <c r="V65" i="4"/>
  <c r="X63" i="4" s="1"/>
  <c r="U65" i="4"/>
  <c r="X62" i="4" s="1"/>
  <c r="T65" i="4"/>
  <c r="X61" i="4" s="1"/>
  <c r="U63" i="4"/>
  <c r="V62" i="4" s="1"/>
  <c r="T63" i="4"/>
  <c r="V61" i="4" s="1"/>
  <c r="T62" i="4"/>
  <c r="T64" i="4"/>
  <c r="W61" i="4" s="1"/>
  <c r="X66" i="4"/>
  <c r="Y65" i="4" s="1"/>
  <c r="V64" i="4"/>
  <c r="W63" i="4" s="1"/>
  <c r="W66" i="4"/>
  <c r="Y64" i="4" s="1"/>
  <c r="U64" i="4"/>
  <c r="W62" i="4" s="1"/>
  <c r="U66" i="4"/>
  <c r="Y62" i="4" s="1"/>
  <c r="T66" i="4"/>
  <c r="Y61" i="4" s="1"/>
  <c r="V66" i="4"/>
  <c r="Y63" i="4" s="1"/>
  <c r="P46" i="4"/>
  <c r="W34" i="4"/>
  <c r="W37" i="4"/>
  <c r="P55" i="4"/>
  <c r="X65" i="4"/>
  <c r="V63" i="4"/>
  <c r="T61" i="4"/>
  <c r="W64" i="4"/>
  <c r="Y66" i="4"/>
  <c r="U62" i="4"/>
  <c r="P49" i="4"/>
  <c r="V35" i="4"/>
  <c r="P51" i="4"/>
  <c r="X35" i="4"/>
  <c r="M38" i="4"/>
  <c r="P54" i="4"/>
  <c r="X36" i="4"/>
  <c r="P56" i="4"/>
  <c r="X37" i="4"/>
  <c r="U34" i="4"/>
  <c r="P44" i="4"/>
  <c r="U35" i="4"/>
  <c r="P48" i="4"/>
  <c r="M40" i="4"/>
  <c r="W36" i="4"/>
  <c r="M44" i="4"/>
  <c r="M61" i="4" s="1"/>
  <c r="M55" i="4"/>
  <c r="M60" i="4" s="1"/>
  <c r="U30" i="4"/>
  <c r="W28" i="4" s="1"/>
  <c r="X34" i="4"/>
  <c r="M45" i="4"/>
  <c r="R8" i="4"/>
  <c r="T35" i="4"/>
  <c r="P52" i="4"/>
  <c r="V8" i="4"/>
  <c r="T31" i="4"/>
  <c r="X27" i="4" s="1"/>
  <c r="P8" i="4"/>
  <c r="T8" i="4"/>
  <c r="T34" i="4"/>
  <c r="M39" i="4" l="1"/>
  <c r="V55" i="4"/>
  <c r="X57" i="4"/>
  <c r="M36" i="4"/>
  <c r="W56" i="4"/>
  <c r="T53" i="4"/>
  <c r="Y58" i="4"/>
  <c r="P60" i="4"/>
  <c r="T82" i="4" s="1"/>
  <c r="P61" i="4"/>
  <c r="Z82" i="4"/>
  <c r="T83" i="4"/>
  <c r="M59" i="4"/>
  <c r="AB50" i="4"/>
  <c r="X83" i="4" s="1"/>
  <c r="M62" i="4"/>
  <c r="U50" i="4" s="1"/>
  <c r="Y46" i="4" s="1"/>
  <c r="P62" i="4"/>
  <c r="P78" i="4"/>
  <c r="U61" i="4"/>
  <c r="T81" i="4"/>
  <c r="P77" i="4"/>
  <c r="V81" i="4"/>
  <c r="M37" i="4"/>
  <c r="P59" i="4"/>
  <c r="M41" i="4" l="1"/>
  <c r="M66" i="4" s="1"/>
  <c r="M69" i="4" s="1"/>
  <c r="N69" i="4" s="1"/>
  <c r="M71" i="4" s="1"/>
  <c r="O71" i="4" s="1"/>
  <c r="W57" i="4"/>
  <c r="X56" i="4" s="1"/>
  <c r="T55" i="4"/>
  <c r="V53" i="4" s="1"/>
  <c r="T54" i="4"/>
  <c r="U53" i="4" s="1"/>
  <c r="X58" i="4"/>
  <c r="Y57" i="4" s="1"/>
  <c r="W58" i="4"/>
  <c r="Y56" i="4" s="1"/>
  <c r="U55" i="4"/>
  <c r="V54" i="4" s="1"/>
  <c r="T48" i="4"/>
  <c r="W45" i="4" s="1"/>
  <c r="U48" i="4"/>
  <c r="W46" i="4" s="1"/>
  <c r="T50" i="4"/>
  <c r="Y45" i="4" s="1"/>
  <c r="V82" i="4"/>
  <c r="V58" i="4"/>
  <c r="Y55" i="4" s="1"/>
  <c r="T56" i="4"/>
  <c r="W53" i="4" s="1"/>
  <c r="U57" i="4"/>
  <c r="X54" i="4" s="1"/>
  <c r="Z78" i="4"/>
  <c r="X78" i="4"/>
  <c r="T58" i="4"/>
  <c r="Y53" i="4" s="1"/>
  <c r="V48" i="4"/>
  <c r="W47" i="4" s="1"/>
  <c r="U58" i="4"/>
  <c r="Y54" i="4" s="1"/>
  <c r="V50" i="4"/>
  <c r="Y47" i="4" s="1"/>
  <c r="V56" i="4"/>
  <c r="W55" i="4" s="1"/>
  <c r="T49" i="4"/>
  <c r="X45" i="4" s="1"/>
  <c r="T57" i="4"/>
  <c r="M63" i="4"/>
  <c r="U49" i="4"/>
  <c r="X46" i="4" s="1"/>
  <c r="U56" i="4"/>
  <c r="W54" i="4" s="1"/>
  <c r="W87" i="4"/>
  <c r="T87" i="4"/>
  <c r="V49" i="4"/>
  <c r="X47" i="4" s="1"/>
  <c r="V57" i="4"/>
  <c r="X55" i="4" s="1"/>
  <c r="W86" i="4"/>
  <c r="T86" i="4"/>
  <c r="T76" i="4"/>
  <c r="V76" i="4"/>
  <c r="P80" i="4"/>
  <c r="X76" i="4"/>
  <c r="X53" i="4"/>
  <c r="T46" i="4"/>
  <c r="U45" i="4" s="1"/>
  <c r="W49" i="4"/>
  <c r="X48" i="4" s="1"/>
  <c r="T47" i="4"/>
  <c r="V45" i="4" s="1"/>
  <c r="U47" i="4"/>
  <c r="V46" i="4" s="1"/>
  <c r="X50" i="4"/>
  <c r="Y49" i="4" s="1"/>
  <c r="W50" i="4"/>
  <c r="Y48" i="4" s="1"/>
  <c r="M65" i="4" l="1"/>
  <c r="X49" i="4"/>
  <c r="W48" i="4"/>
  <c r="T45" i="4"/>
  <c r="V47" i="4"/>
  <c r="U46" i="4"/>
  <c r="M70" i="4"/>
  <c r="N70" i="4" s="1"/>
  <c r="Z83" i="4"/>
  <c r="AB83" i="4" s="1"/>
  <c r="T88" i="4" s="1"/>
  <c r="T78" i="4" s="1"/>
  <c r="Y50" i="4"/>
  <c r="M78" i="4"/>
  <c r="N78" i="4" s="1"/>
  <c r="M77" i="4"/>
  <c r="N77" i="4" s="1"/>
  <c r="AB58" i="4"/>
  <c r="P65" i="4"/>
  <c r="Q65" i="4" s="1"/>
  <c r="X77" i="4"/>
  <c r="Z77" i="4"/>
  <c r="V77" i="4" s="1"/>
  <c r="W88" i="4"/>
  <c r="V78" i="4" s="1"/>
  <c r="N80" i="4" l="1"/>
  <c r="M80" i="4"/>
  <c r="T77" i="4"/>
</calcChain>
</file>

<file path=xl/sharedStrings.xml><?xml version="1.0" encoding="utf-8"?>
<sst xmlns="http://schemas.openxmlformats.org/spreadsheetml/2006/main" count="517" uniqueCount="298">
  <si>
    <t>Einfügen, Assistent, Feste Breite, Click für Spalten Trennen am Ende</t>
  </si>
  <si>
    <t>+</t>
  </si>
  <si>
    <t>XL11=</t>
  </si>
  <si>
    <t>XM12=</t>
  </si>
  <si>
    <t>XM13=</t>
  </si>
  <si>
    <t>XM14=</t>
  </si>
  <si>
    <t>XM15=</t>
  </si>
  <si>
    <t>XM16=</t>
  </si>
  <si>
    <t>XM21=</t>
  </si>
  <si>
    <t>XL22=</t>
  </si>
  <si>
    <t>XM23=</t>
  </si>
  <si>
    <t>XM24=</t>
  </si>
  <si>
    <t>XM25=</t>
  </si>
  <si>
    <t>XM26=</t>
  </si>
  <si>
    <t>XM31=</t>
  </si>
  <si>
    <t>XM32=</t>
  </si>
  <si>
    <t>XL33=</t>
  </si>
  <si>
    <t>XM34=</t>
  </si>
  <si>
    <t>XM35=</t>
  </si>
  <si>
    <t>XM36=</t>
  </si>
  <si>
    <t>XM41=</t>
  </si>
  <si>
    <t>XM42=</t>
  </si>
  <si>
    <t>XM43=</t>
  </si>
  <si>
    <t>XL44=</t>
  </si>
  <si>
    <t>XM45=</t>
  </si>
  <si>
    <t>XM46=</t>
  </si>
  <si>
    <t>XM51=</t>
  </si>
  <si>
    <t>XM52=</t>
  </si>
  <si>
    <t>XM53=</t>
  </si>
  <si>
    <t>XM54=</t>
  </si>
  <si>
    <t>XL55=</t>
  </si>
  <si>
    <t>XM56=</t>
  </si>
  <si>
    <t>XM61=</t>
  </si>
  <si>
    <t>XM62=</t>
  </si>
  <si>
    <t>XM63=</t>
  </si>
  <si>
    <t>XM64=</t>
  </si>
  <si>
    <t>XM65=</t>
  </si>
  <si>
    <t>XL66=</t>
  </si>
  <si>
    <t>Ce =</t>
  </si>
  <si>
    <t>Cshield =</t>
  </si>
  <si>
    <t xml:space="preserve">.param rnn = </t>
  </si>
  <si>
    <t>.param rmm =</t>
  </si>
  <si>
    <t>{</t>
  </si>
  <si>
    <t>/ fact }</t>
  </si>
  <si>
    <t>.param rmn =</t>
  </si>
  <si>
    <t xml:space="preserve">Insert ATP G-Matrix Farad/m here </t>
  </si>
  <si>
    <t>Dezimaltrennzeichen ändern vom , auf .</t>
  </si>
  <si>
    <t>In Windows zentral</t>
  </si>
  <si>
    <t xml:space="preserve">Start / Region eingeben / Weitere Einstallungen / Zahlen </t>
  </si>
  <si>
    <t>Start/Einfügen/Textassistent</t>
  </si>
  <si>
    <t xml:space="preserve">Insert ATP Capacitance-Matrix Farad/km for equivalent phase conductors here </t>
  </si>
  <si>
    <t>Spice Matrix Reactances self and mutual , capacitances CE,CL</t>
  </si>
  <si>
    <t>R1=</t>
  </si>
  <si>
    <t>R2=</t>
  </si>
  <si>
    <t>R3=</t>
  </si>
  <si>
    <t>C11=</t>
  </si>
  <si>
    <t>C12=</t>
  </si>
  <si>
    <t>C22=</t>
  </si>
  <si>
    <t>C13=</t>
  </si>
  <si>
    <t>C23=</t>
  </si>
  <si>
    <t>C33=</t>
  </si>
  <si>
    <t>.param Rnn=</t>
  </si>
  <si>
    <t>Insert ATP Impedance-Matrix Ohms/km for equvivalent phase conductors here</t>
  </si>
  <si>
    <t>.param Rmn=</t>
  </si>
  <si>
    <t>CE1:</t>
  </si>
  <si>
    <t>CE2:</t>
  </si>
  <si>
    <t>CE3:</t>
  </si>
  <si>
    <t>CL12:</t>
  </si>
  <si>
    <t>CL13:</t>
  </si>
  <si>
    <t>CL23:</t>
  </si>
  <si>
    <t>Q0: f(U*U,fn)</t>
  </si>
  <si>
    <t>Frequency:</t>
  </si>
  <si>
    <t>R01</t>
  </si>
  <si>
    <t>Voltage:</t>
  </si>
  <si>
    <t>R02</t>
  </si>
  <si>
    <t>Copy and Paste to model in file coupled_lines.lib</t>
  </si>
  <si>
    <t xml:space="preserve">R4= </t>
  </si>
  <si>
    <t>R5=</t>
  </si>
  <si>
    <t>R6=</t>
  </si>
  <si>
    <t>C14=</t>
  </si>
  <si>
    <t>C24=</t>
  </si>
  <si>
    <t>C34=</t>
  </si>
  <si>
    <t>C44=</t>
  </si>
  <si>
    <t>C15=</t>
  </si>
  <si>
    <t>C25=</t>
  </si>
  <si>
    <t>C35=</t>
  </si>
  <si>
    <t>C45=</t>
  </si>
  <si>
    <t>C55=</t>
  </si>
  <si>
    <t>C16=</t>
  </si>
  <si>
    <t>C26=</t>
  </si>
  <si>
    <t>C36=</t>
  </si>
  <si>
    <t>C46=</t>
  </si>
  <si>
    <t>C56=</t>
  </si>
  <si>
    <t>C66=</t>
  </si>
  <si>
    <t>.param Rmm=</t>
  </si>
  <si>
    <t>Ce_CLs:</t>
  </si>
  <si>
    <t>To transpose this line the following computation is done:</t>
  </si>
  <si>
    <t>R</t>
  </si>
  <si>
    <t>Rm</t>
  </si>
  <si>
    <t>XL_XMs:</t>
  </si>
  <si>
    <t>XL11:</t>
  </si>
  <si>
    <t>XL22:</t>
  </si>
  <si>
    <t>XL33:</t>
  </si>
  <si>
    <t>CE4:</t>
  </si>
  <si>
    <t>XL44:</t>
  </si>
  <si>
    <t>CE5:</t>
  </si>
  <si>
    <t>XL55:</t>
  </si>
  <si>
    <t>CE6:</t>
  </si>
  <si>
    <t>XL66:</t>
  </si>
  <si>
    <t>Mean: Ce</t>
  </si>
  <si>
    <t>CE</t>
  </si>
  <si>
    <t>Mean: Lself</t>
  </si>
  <si>
    <t>Lself</t>
  </si>
  <si>
    <t>XM12:</t>
  </si>
  <si>
    <t>XM13:</t>
  </si>
  <si>
    <t>CL14:</t>
  </si>
  <si>
    <t>XM14:</t>
  </si>
  <si>
    <t>CL15</t>
  </si>
  <si>
    <t>XM15:</t>
  </si>
  <si>
    <t>CL16:</t>
  </si>
  <si>
    <t>XM16:</t>
  </si>
  <si>
    <t>XM23:</t>
  </si>
  <si>
    <t>CL24:</t>
  </si>
  <si>
    <t>XM24:</t>
  </si>
  <si>
    <t>CL25:</t>
  </si>
  <si>
    <t>XM25:</t>
  </si>
  <si>
    <t>CL26:</t>
  </si>
  <si>
    <t>XM26:</t>
  </si>
  <si>
    <t>CL34:</t>
  </si>
  <si>
    <t>XM34:</t>
  </si>
  <si>
    <t>CL35:</t>
  </si>
  <si>
    <t>XM35:</t>
  </si>
  <si>
    <t>CL36:</t>
  </si>
  <si>
    <t>XM36:</t>
  </si>
  <si>
    <t>CL45:</t>
  </si>
  <si>
    <t>XM45:</t>
  </si>
  <si>
    <t>CL46:</t>
  </si>
  <si>
    <t>XM46:</t>
  </si>
  <si>
    <t>CL56:</t>
  </si>
  <si>
    <t>XM56:</t>
  </si>
  <si>
    <t>Mean: Cl</t>
  </si>
  <si>
    <t>Mean: Xm</t>
  </si>
  <si>
    <t>Mean:Cl123</t>
  </si>
  <si>
    <t>CL1</t>
  </si>
  <si>
    <t>Mean: Lm123</t>
  </si>
  <si>
    <t>LM1</t>
  </si>
  <si>
    <t>Mean:Cl456</t>
  </si>
  <si>
    <t>same as CL1</t>
  </si>
  <si>
    <t>Mean:Lm456</t>
  </si>
  <si>
    <t>same as LM1</t>
  </si>
  <si>
    <t>Mean:Cl_Rest</t>
  </si>
  <si>
    <t>CL2</t>
  </si>
  <si>
    <t>Mean:Lm2</t>
  </si>
  <si>
    <t>LM2</t>
  </si>
  <si>
    <t>Mean Cb</t>
  </si>
  <si>
    <t>Mean CE</t>
  </si>
  <si>
    <t>R:</t>
  </si>
  <si>
    <t>From ATPDraw Different_lines_400V_20kV.acp or Different_lines_110kV_1150kV , choose click cable symbol, Press RunATP, ATP Capacitance-Matrix and ATP Impedance_Matrix</t>
  </si>
  <si>
    <t>In Excel local</t>
  </si>
  <si>
    <t>Datei/Optionen/Erweitert/Dezimaltrennzeichen</t>
  </si>
  <si>
    <t>, choose cable symbol, Press RunATP, Copy Z-Matrix,</t>
  </si>
  <si>
    <t>, choose cable symbol, Press RunATP, Copy G-Matrix,</t>
  </si>
  <si>
    <t>Rself</t>
  </si>
  <si>
    <t>L: and X:</t>
  </si>
  <si>
    <t>Per System:</t>
  </si>
  <si>
    <t>Per Line:</t>
  </si>
  <si>
    <t>Q1: f(U*U,fn)</t>
  </si>
  <si>
    <t>I0(per line)</t>
  </si>
  <si>
    <t>IE: 3*I0</t>
  </si>
  <si>
    <t xml:space="preserve">Note: Q1 has CLLs and Ces, Ce*6 + CL1*6 + CL2*6  (3 are between L1 and L4,L2 and L5,L3 and L6 -&gt; 0 because of zero voltage difference) </t>
  </si>
  <si>
    <t>Frequency</t>
  </si>
  <si>
    <t>L1</t>
  </si>
  <si>
    <t>For 6phase line C1(from Ce,Cl)=Ce+3CL123+3CL_Rest   C0=CE</t>
  </si>
  <si>
    <t>Mean:AllCl</t>
  </si>
  <si>
    <t>N O T E:</t>
  </si>
  <si>
    <t xml:space="preserve">If only LM2 is used: LM2 and LM3 are both the same </t>
  </si>
  <si>
    <t>LM2=LM3:</t>
  </si>
  <si>
    <t xml:space="preserve">If a different CL3 is used: </t>
  </si>
  <si>
    <t>CL2:</t>
  </si>
  <si>
    <t>CL3:</t>
  </si>
  <si>
    <t>Zero system self inductances, impedances, resistances  (see ATP)</t>
  </si>
  <si>
    <t>R0=</t>
  </si>
  <si>
    <t>R0m=</t>
  </si>
  <si>
    <t xml:space="preserve">L01 and X01 </t>
  </si>
  <si>
    <t>L0=</t>
  </si>
  <si>
    <t>L1=</t>
  </si>
  <si>
    <t>L0m=</t>
  </si>
  <si>
    <t>L1m=</t>
  </si>
  <si>
    <t>L02 and X02</t>
  </si>
  <si>
    <t>C0=</t>
  </si>
  <si>
    <t>C1=</t>
  </si>
  <si>
    <t>C0m=</t>
  </si>
  <si>
    <t>C1m=</t>
  </si>
  <si>
    <t>Zero system mutual inductances, impedances, resistances (see ATP)</t>
  </si>
  <si>
    <t>X00:(L0m*omega)</t>
  </si>
  <si>
    <t>R00:(R0m)</t>
  </si>
  <si>
    <t>Rm=</t>
  </si>
  <si>
    <t>Rs=</t>
  </si>
  <si>
    <t>Lm1=</t>
  </si>
  <si>
    <t>Lm2=</t>
  </si>
  <si>
    <t>Lm3=</t>
  </si>
  <si>
    <t>Ls=</t>
  </si>
  <si>
    <t>CL1=</t>
  </si>
  <si>
    <t>CL2=</t>
  </si>
  <si>
    <t xml:space="preserve">CL3= </t>
  </si>
  <si>
    <t>CE=</t>
  </si>
  <si>
    <t>Cs=</t>
  </si>
  <si>
    <t>LM3</t>
  </si>
  <si>
    <t>Mean:Lm3</t>
  </si>
  <si>
    <t>R0s:</t>
  </si>
  <si>
    <t>R1s:</t>
  </si>
  <si>
    <t>L0s:</t>
  </si>
  <si>
    <t>L1s:</t>
  </si>
  <si>
    <t>C0s:</t>
  </si>
  <si>
    <t>C1s:</t>
  </si>
  <si>
    <t>Copy and Paste to transposed model in file coupled_lines.lib</t>
  </si>
  <si>
    <t>(do not edit here -&gt; edit above)</t>
  </si>
  <si>
    <t>(edit frequency here)</t>
  </si>
  <si>
    <t>Cs_Cm:</t>
  </si>
  <si>
    <t>Rs_Rm</t>
  </si>
  <si>
    <t>Ls_Lm:</t>
  </si>
  <si>
    <t>Rs_Rm:</t>
  </si>
  <si>
    <t>frequency:</t>
  </si>
  <si>
    <t>Approximation of Transposed system matrix: copy to matlab</t>
  </si>
  <si>
    <t>Transposed:</t>
  </si>
  <si>
    <t>Xs_Xm:</t>
  </si>
  <si>
    <t>transposed:</t>
  </si>
  <si>
    <t>k=node to eleminate !</t>
  </si>
  <si>
    <t>Zij_neu=Zij-Zik*Zkj/Zkk</t>
  </si>
  <si>
    <t>Zred=(Z11-Z12*Z22^-1*Z21)</t>
  </si>
  <si>
    <t>V1=(Z11-Z12*Z22^-1*Z21)*I1</t>
  </si>
  <si>
    <t>V1=Z11*I1+Z12*(-Z22^-1*Z21*I1)</t>
  </si>
  <si>
    <t>insert I2 in eqn1</t>
  </si>
  <si>
    <t>I2=-Z22^-1*Z21*I1</t>
  </si>
  <si>
    <t>0=Z21*I1+Z22*I2</t>
  </si>
  <si>
    <t>V2=0 (Earth wire grounded)</t>
  </si>
  <si>
    <t>V2=Z21*I1+Z22*I2</t>
  </si>
  <si>
    <t>V1=Z11*I1+Z12*I2</t>
  </si>
  <si>
    <t>V=Z*I</t>
  </si>
  <si>
    <t>Kronreduction:</t>
  </si>
  <si>
    <t>X1eff:</t>
  </si>
  <si>
    <t>R1eff:</t>
  </si>
  <si>
    <t>Positiv sequence system for single bonding:  Is,0=0  Z1eff=Zcc,1</t>
  </si>
  <si>
    <t>Sh3</t>
  </si>
  <si>
    <t>Positive sequence system for doubled bonding Vs,0=0 -&gt; Z1,eff = Zcc,1 - Zcs,1*Zsc,0/Zss,1</t>
  </si>
  <si>
    <t>Sh2</t>
  </si>
  <si>
    <t>Sh1</t>
  </si>
  <si>
    <t>Zss,1:</t>
  </si>
  <si>
    <t>L3</t>
  </si>
  <si>
    <t>Zcs,1:</t>
  </si>
  <si>
    <t>L2</t>
  </si>
  <si>
    <t>Zcc,1:</t>
  </si>
  <si>
    <t>line_cable_shield_400kV_1200mm2_1km_2_thick_shield_5mm_grounded_internally.xlsx</t>
  </si>
  <si>
    <t>NOTE: for double bonding R0eff=R1eff X0eff=X1eff see also ATP Kronreduktion:</t>
  </si>
  <si>
    <t>Xss,1:</t>
  </si>
  <si>
    <t>Xcs,1:</t>
  </si>
  <si>
    <t>Meanvalue Diagonal values - Meanvalue neardiagonal values</t>
  </si>
  <si>
    <t>Xcc,1:</t>
  </si>
  <si>
    <t>Rss,1:</t>
  </si>
  <si>
    <t>Rcs,1:</t>
  </si>
  <si>
    <t>Rcc,1:</t>
  </si>
  <si>
    <t>You can see that the zero impdeance of the cable is reduced from 1.518 ohm to 0,0588 ohm for double point bonding</t>
  </si>
  <si>
    <t>X0,eff:</t>
  </si>
  <si>
    <t>R0eff:</t>
  </si>
  <si>
    <t>Null-System for single bonding:  Is,0=0  Z0eff=Zcc,0</t>
  </si>
  <si>
    <t>Null-System for doubled bonding  Vs,0=0 -&gt; Z0,eff = Zcc,0 - Zcs,0*Zsc,0/Zss,0</t>
  </si>
  <si>
    <t>Zss,0:</t>
  </si>
  <si>
    <t>Zcs,0:</t>
  </si>
  <si>
    <t>Zcc,0:</t>
  </si>
  <si>
    <t>Meanvalue of sum of rows</t>
  </si>
  <si>
    <t>Xss,0:</t>
  </si>
  <si>
    <t>Xcs,0:</t>
  </si>
  <si>
    <t>Xcc,0:</t>
  </si>
  <si>
    <t>Rsc,0=Rcs,0</t>
  </si>
  <si>
    <t>Rss,0:</t>
  </si>
  <si>
    <t>* Is,0</t>
  </si>
  <si>
    <t>Rss,0</t>
  </si>
  <si>
    <t>Rsc,0</t>
  </si>
  <si>
    <t>Vs0 =</t>
  </si>
  <si>
    <t>Rcs,0:</t>
  </si>
  <si>
    <t>* Ic,0</t>
  </si>
  <si>
    <t>Rcs,0</t>
  </si>
  <si>
    <t>Rcc,0</t>
  </si>
  <si>
    <t>Vc0 =</t>
  </si>
  <si>
    <t>Rcc,0:</t>
  </si>
  <si>
    <t>Computation of R0 R1 X0 X1 Z0 Z1 from the Matrices (KRON REDUCTION)</t>
  </si>
  <si>
    <t>Bergeron with CableConstants</t>
  </si>
  <si>
    <t>Spice Matrix Reactances self and mutual for input to line_coupled.lib file</t>
  </si>
  <si>
    <t>Insert ATP Z-Matrix ohm/m here</t>
  </si>
  <si>
    <t>Insert, Text Import Wizard, fixed Width</t>
  </si>
  <si>
    <t>Mark the second matrix below</t>
  </si>
  <si>
    <t>Mark the first matrix below</t>
  </si>
  <si>
    <t>From ATPDraw double click cable symbol, Check Cable constant Press RunATP, Copy Z-Matrix from command window with ALT+Mark</t>
  </si>
  <si>
    <t>From ATPDraw double click cable symbol, check cable constant, Press RunATP, Copy G-Matrix from Command window with ALT+Mark</t>
  </si>
  <si>
    <t>Xs_Xm_transposed</t>
  </si>
  <si>
    <t>guessed:</t>
  </si>
  <si>
    <t>for exact values of R,X see Matlab File Kron_Reduktion_1mm_transposed.m</t>
  </si>
  <si>
    <t>Ltspice 400kV Donaumast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</si>
</sst>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E+00"/>
    <numFmt numFmtId="165" formatCode="0.00000E+00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0">
    <border>
      <left/>
      <right/>
      <top/>
      <bottom/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 style="medium">
        <color theme="9"/>
      </left>
      <right/>
      <top/>
      <bottom/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theme="9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theme="9"/>
      </right>
      <top/>
      <bottom style="medium">
        <color theme="9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 style="medium">
        <color theme="9"/>
      </right>
      <top/>
      <bottom/>
      <diagonal/>
    </border>
    <border>
      <left style="medium">
        <color theme="9"/>
      </left>
      <right style="medium">
        <color theme="9"/>
      </right>
      <top/>
      <bottom style="medium">
        <color theme="9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96">
    <xf numFmtId="0" fontId="0" fillId="0" borderId="0" xfId="0"/>
    <xf numFmtId="2" fontId="0" fillId="0" borderId="0" xfId="0" applyNumberFormat="1"/>
    <xf numFmtId="164" fontId="0" fillId="0" borderId="2" xfId="0" applyNumberFormat="1" applyBorder="1" applyProtection="1">
      <protection locked="0"/>
    </xf>
    <xf numFmtId="164" fontId="0" fillId="0" borderId="0" xfId="0" applyNumberFormat="1" applyBorder="1" applyProtection="1">
      <protection locked="0"/>
    </xf>
    <xf numFmtId="164" fontId="0" fillId="0" borderId="5" xfId="0" applyNumberFormat="1" applyBorder="1" applyProtection="1">
      <protection locked="0"/>
    </xf>
    <xf numFmtId="11" fontId="0" fillId="0" borderId="0" xfId="0" applyNumberFormat="1" applyProtection="1">
      <protection locked="0"/>
    </xf>
    <xf numFmtId="164" fontId="0" fillId="0" borderId="7" xfId="0" applyNumberFormat="1" applyBorder="1" applyProtection="1">
      <protection locked="0"/>
    </xf>
    <xf numFmtId="164" fontId="0" fillId="0" borderId="9" xfId="0" applyNumberFormat="1" applyBorder="1" applyProtection="1">
      <protection locked="0"/>
    </xf>
    <xf numFmtId="164" fontId="0" fillId="0" borderId="0" xfId="0" applyNumberFormat="1"/>
    <xf numFmtId="0" fontId="0" fillId="0" borderId="8" xfId="0" applyBorder="1"/>
    <xf numFmtId="0" fontId="0" fillId="0" borderId="10" xfId="0" applyBorder="1"/>
    <xf numFmtId="2" fontId="0" fillId="0" borderId="0" xfId="0" applyNumberFormat="1" applyFill="1" applyBorder="1" applyAlignment="1"/>
    <xf numFmtId="164" fontId="0" fillId="0" borderId="11" xfId="0" applyNumberFormat="1" applyBorder="1" applyProtection="1">
      <protection locked="0"/>
    </xf>
    <xf numFmtId="164" fontId="8" fillId="0" borderId="12" xfId="0" applyNumberFormat="1" applyFont="1" applyBorder="1" applyProtection="1">
      <protection locked="0"/>
    </xf>
    <xf numFmtId="164" fontId="0" fillId="0" borderId="12" xfId="0" applyNumberFormat="1" applyBorder="1"/>
    <xf numFmtId="11" fontId="0" fillId="0" borderId="0" xfId="0" applyNumberFormat="1" applyBorder="1"/>
    <xf numFmtId="164" fontId="0" fillId="0" borderId="0" xfId="0" applyNumberFormat="1" applyBorder="1"/>
    <xf numFmtId="0" fontId="0" fillId="0" borderId="0" xfId="0" applyBorder="1"/>
    <xf numFmtId="0" fontId="0" fillId="0" borderId="13" xfId="0" applyBorder="1"/>
    <xf numFmtId="164" fontId="0" fillId="0" borderId="13" xfId="0" applyNumberFormat="1" applyBorder="1"/>
    <xf numFmtId="164" fontId="8" fillId="0" borderId="12" xfId="0" applyNumberFormat="1" applyFont="1" applyBorder="1"/>
    <xf numFmtId="164" fontId="0" fillId="0" borderId="15" xfId="0" applyNumberFormat="1" applyBorder="1"/>
    <xf numFmtId="0" fontId="0" fillId="0" borderId="15" xfId="0" applyBorder="1"/>
    <xf numFmtId="164" fontId="0" fillId="0" borderId="16" xfId="0" applyNumberFormat="1" applyBorder="1"/>
    <xf numFmtId="2" fontId="0" fillId="0" borderId="0" xfId="0" applyNumberFormat="1" applyBorder="1"/>
    <xf numFmtId="11" fontId="0" fillId="0" borderId="1" xfId="0" applyNumberFormat="1" applyBorder="1" applyProtection="1">
      <protection locked="0"/>
    </xf>
    <xf numFmtId="11" fontId="0" fillId="0" borderId="3" xfId="0" applyNumberFormat="1" applyBorder="1" applyProtection="1">
      <protection locked="0"/>
    </xf>
    <xf numFmtId="11" fontId="0" fillId="0" borderId="4" xfId="0" applyNumberFormat="1" applyBorder="1" applyProtection="1">
      <protection locked="0"/>
    </xf>
    <xf numFmtId="11" fontId="0" fillId="0" borderId="0" xfId="0" applyNumberFormat="1" applyBorder="1" applyProtection="1">
      <protection locked="0"/>
    </xf>
    <xf numFmtId="0" fontId="0" fillId="0" borderId="0" xfId="0" applyNumberFormat="1"/>
    <xf numFmtId="2" fontId="9" fillId="0" borderId="0" xfId="0" applyNumberFormat="1" applyFont="1"/>
    <xf numFmtId="164" fontId="0" fillId="0" borderId="6" xfId="0" applyNumberFormat="1" applyFont="1" applyBorder="1" applyAlignment="1"/>
    <xf numFmtId="164" fontId="0" fillId="0" borderId="12" xfId="0" applyNumberFormat="1" applyFont="1" applyBorder="1"/>
    <xf numFmtId="164" fontId="0" fillId="0" borderId="8" xfId="0" applyNumberFormat="1" applyFont="1" applyBorder="1" applyAlignment="1"/>
    <xf numFmtId="164" fontId="0" fillId="0" borderId="0" xfId="0" applyNumberFormat="1" applyFont="1" applyBorder="1" applyAlignment="1"/>
    <xf numFmtId="164" fontId="0" fillId="0" borderId="0" xfId="0" applyNumberFormat="1" applyFont="1" applyFill="1" applyBorder="1" applyAlignment="1"/>
    <xf numFmtId="164" fontId="0" fillId="0" borderId="10" xfId="0" applyNumberFormat="1" applyFont="1" applyBorder="1" applyAlignment="1"/>
    <xf numFmtId="164" fontId="0" fillId="0" borderId="13" xfId="0" applyNumberFormat="1" applyFont="1" applyBorder="1" applyAlignment="1"/>
    <xf numFmtId="0" fontId="9" fillId="0" borderId="0" xfId="0" applyFont="1"/>
    <xf numFmtId="164" fontId="10" fillId="0" borderId="0" xfId="0" applyNumberFormat="1" applyFont="1"/>
    <xf numFmtId="0" fontId="9" fillId="2" borderId="0" xfId="0" applyFont="1" applyFill="1"/>
    <xf numFmtId="2" fontId="0" fillId="0" borderId="17" xfId="0" applyNumberFormat="1" applyBorder="1"/>
    <xf numFmtId="164" fontId="0" fillId="0" borderId="18" xfId="0" applyNumberFormat="1" applyBorder="1"/>
    <xf numFmtId="0" fontId="0" fillId="0" borderId="18" xfId="0" applyBorder="1"/>
    <xf numFmtId="2" fontId="9" fillId="0" borderId="18" xfId="0" applyNumberFormat="1" applyFont="1" applyBorder="1"/>
    <xf numFmtId="2" fontId="0" fillId="0" borderId="19" xfId="0" applyNumberFormat="1" applyBorder="1"/>
    <xf numFmtId="164" fontId="10" fillId="0" borderId="0" xfId="0" applyNumberFormat="1" applyFont="1" applyBorder="1"/>
    <xf numFmtId="0" fontId="9" fillId="3" borderId="0" xfId="0" applyFont="1" applyFill="1" applyBorder="1"/>
    <xf numFmtId="2" fontId="9" fillId="0" borderId="0" xfId="0" applyNumberFormat="1" applyFont="1" applyBorder="1"/>
    <xf numFmtId="164" fontId="11" fillId="0" borderId="0" xfId="0" applyNumberFormat="1" applyFont="1" applyBorder="1"/>
    <xf numFmtId="0" fontId="9" fillId="0" borderId="0" xfId="0" applyFont="1" applyBorder="1"/>
    <xf numFmtId="2" fontId="9" fillId="0" borderId="19" xfId="0" applyNumberFormat="1" applyFont="1" applyBorder="1"/>
    <xf numFmtId="0" fontId="9" fillId="4" borderId="0" xfId="0" applyFont="1" applyFill="1" applyBorder="1"/>
    <xf numFmtId="0" fontId="0" fillId="0" borderId="19" xfId="0" applyBorder="1"/>
    <xf numFmtId="0" fontId="9" fillId="0" borderId="19" xfId="0" applyFont="1" applyBorder="1"/>
    <xf numFmtId="164" fontId="0" fillId="0" borderId="14" xfId="0" applyNumberFormat="1" applyFont="1" applyBorder="1"/>
    <xf numFmtId="164" fontId="0" fillId="0" borderId="15" xfId="0" applyNumberFormat="1" applyFont="1" applyBorder="1" applyAlignment="1"/>
    <xf numFmtId="164" fontId="0" fillId="0" borderId="16" xfId="0" applyNumberFormat="1" applyFont="1" applyBorder="1" applyAlignment="1"/>
    <xf numFmtId="164" fontId="0" fillId="2" borderId="0" xfId="0" applyNumberFormat="1" applyFont="1" applyFill="1" applyBorder="1" applyAlignment="1"/>
    <xf numFmtId="164" fontId="0" fillId="3" borderId="0" xfId="0" applyNumberFormat="1" applyFont="1" applyFill="1" applyBorder="1" applyAlignment="1"/>
    <xf numFmtId="164" fontId="0" fillId="5" borderId="0" xfId="0" applyNumberFormat="1" applyFont="1" applyFill="1" applyBorder="1" applyAlignment="1"/>
    <xf numFmtId="164" fontId="0" fillId="4" borderId="0" xfId="0" applyNumberFormat="1" applyFont="1" applyFill="1" applyBorder="1" applyAlignment="1"/>
    <xf numFmtId="0" fontId="0" fillId="0" borderId="20" xfId="0" applyBorder="1"/>
    <xf numFmtId="0" fontId="9" fillId="3" borderId="21" xfId="0" applyFont="1" applyFill="1" applyBorder="1"/>
    <xf numFmtId="0" fontId="9" fillId="0" borderId="21" xfId="0" applyFont="1" applyBorder="1"/>
    <xf numFmtId="0" fontId="9" fillId="4" borderId="21" xfId="0" applyFont="1" applyFill="1" applyBorder="1"/>
    <xf numFmtId="0" fontId="9" fillId="0" borderId="22" xfId="0" applyFont="1" applyBorder="1"/>
    <xf numFmtId="0" fontId="0" fillId="0" borderId="23" xfId="0" applyBorder="1"/>
    <xf numFmtId="0" fontId="9" fillId="0" borderId="23" xfId="0" applyFont="1" applyBorder="1"/>
    <xf numFmtId="0" fontId="0" fillId="0" borderId="24" xfId="0" applyBorder="1"/>
    <xf numFmtId="2" fontId="10" fillId="0" borderId="0" xfId="0" applyNumberFormat="1" applyFont="1"/>
    <xf numFmtId="164" fontId="10" fillId="0" borderId="0" xfId="0" applyNumberFormat="1" applyFont="1" applyBorder="1" applyProtection="1">
      <protection locked="0"/>
    </xf>
    <xf numFmtId="0" fontId="0" fillId="0" borderId="12" xfId="0" applyBorder="1"/>
    <xf numFmtId="0" fontId="0" fillId="0" borderId="14" xfId="0" applyBorder="1"/>
    <xf numFmtId="2" fontId="12" fillId="0" borderId="0" xfId="0" applyNumberFormat="1" applyFont="1"/>
    <xf numFmtId="2" fontId="9" fillId="7" borderId="0" xfId="0" applyNumberFormat="1" applyFont="1" applyFill="1"/>
    <xf numFmtId="2" fontId="0" fillId="6" borderId="0" xfId="0" applyNumberFormat="1" applyFont="1" applyFill="1"/>
    <xf numFmtId="0" fontId="0" fillId="0" borderId="0" xfId="0" applyFont="1" applyBorder="1"/>
    <xf numFmtId="0" fontId="13" fillId="0" borderId="0" xfId="0" applyNumberFormat="1" applyFont="1" applyFill="1" applyBorder="1" applyAlignment="1" applyProtection="1"/>
    <xf numFmtId="0" fontId="14" fillId="0" borderId="0" xfId="0" applyNumberFormat="1" applyFont="1" applyFill="1" applyBorder="1" applyAlignment="1" applyProtection="1"/>
    <xf numFmtId="164" fontId="0" fillId="9" borderId="0" xfId="0" applyNumberFormat="1" applyFill="1" applyBorder="1"/>
    <xf numFmtId="164" fontId="12" fillId="9" borderId="23" xfId="0" applyNumberFormat="1" applyFont="1" applyFill="1" applyBorder="1"/>
    <xf numFmtId="164" fontId="0" fillId="9" borderId="21" xfId="0" applyNumberFormat="1" applyFill="1" applyBorder="1"/>
    <xf numFmtId="164" fontId="0" fillId="9" borderId="23" xfId="0" applyNumberFormat="1" applyFill="1" applyBorder="1"/>
    <xf numFmtId="164" fontId="0" fillId="0" borderId="0" xfId="0" applyNumberFormat="1" applyFill="1"/>
    <xf numFmtId="164" fontId="14" fillId="0" borderId="0" xfId="0" applyNumberFormat="1" applyFont="1" applyFill="1" applyBorder="1" applyAlignment="1" applyProtection="1"/>
    <xf numFmtId="0" fontId="0" fillId="10" borderId="0" xfId="0" applyFill="1"/>
    <xf numFmtId="0" fontId="0" fillId="11" borderId="0" xfId="0" applyFont="1" applyFill="1"/>
    <xf numFmtId="0" fontId="13" fillId="11" borderId="0" xfId="0" applyNumberFormat="1" applyFont="1" applyFill="1" applyBorder="1" applyAlignment="1" applyProtection="1"/>
    <xf numFmtId="164" fontId="15" fillId="13" borderId="0" xfId="0" applyNumberFormat="1" applyFont="1" applyFill="1" applyBorder="1"/>
    <xf numFmtId="0" fontId="0" fillId="0" borderId="6" xfId="0" applyBorder="1"/>
    <xf numFmtId="0" fontId="7" fillId="0" borderId="0" xfId="0" applyFont="1"/>
    <xf numFmtId="0" fontId="13" fillId="10" borderId="0" xfId="0" applyNumberFormat="1" applyFont="1" applyFill="1" applyBorder="1" applyAlignment="1" applyProtection="1"/>
    <xf numFmtId="164" fontId="6" fillId="0" borderId="0" xfId="0" applyNumberFormat="1" applyFont="1" applyBorder="1" applyAlignment="1"/>
    <xf numFmtId="164" fontId="0" fillId="0" borderId="27" xfId="0" applyNumberFormat="1" applyBorder="1" applyProtection="1">
      <protection locked="0"/>
    </xf>
    <xf numFmtId="164" fontId="0" fillId="0" borderId="28" xfId="0" applyNumberFormat="1" applyBorder="1" applyProtection="1">
      <protection locked="0"/>
    </xf>
    <xf numFmtId="165" fontId="0" fillId="14" borderId="0" xfId="0" applyNumberFormat="1" applyFill="1"/>
    <xf numFmtId="164" fontId="0" fillId="0" borderId="29" xfId="0" applyNumberFormat="1" applyBorder="1" applyProtection="1">
      <protection locked="0"/>
    </xf>
    <xf numFmtId="0" fontId="4" fillId="0" borderId="0" xfId="0" applyFont="1"/>
    <xf numFmtId="2" fontId="16" fillId="0" borderId="0" xfId="0" applyNumberFormat="1" applyFont="1"/>
    <xf numFmtId="164" fontId="0" fillId="2" borderId="6" xfId="0" applyNumberFormat="1" applyFont="1" applyFill="1" applyBorder="1" applyAlignment="1"/>
    <xf numFmtId="164" fontId="0" fillId="3" borderId="12" xfId="0" applyNumberFormat="1" applyFont="1" applyFill="1" applyBorder="1" applyAlignment="1"/>
    <xf numFmtId="164" fontId="0" fillId="5" borderId="12" xfId="0" applyNumberFormat="1" applyFont="1" applyFill="1" applyBorder="1" applyAlignment="1"/>
    <xf numFmtId="164" fontId="0" fillId="5" borderId="14" xfId="0" applyNumberFormat="1" applyFont="1" applyFill="1" applyBorder="1" applyAlignment="1"/>
    <xf numFmtId="164" fontId="0" fillId="3" borderId="8" xfId="0" applyNumberFormat="1" applyFont="1" applyFill="1" applyBorder="1" applyAlignment="1"/>
    <xf numFmtId="164" fontId="0" fillId="5" borderId="15" xfId="0" applyNumberFormat="1" applyFont="1" applyFill="1" applyBorder="1" applyAlignment="1"/>
    <xf numFmtId="164" fontId="0" fillId="5" borderId="8" xfId="0" applyNumberFormat="1" applyFont="1" applyFill="1" applyBorder="1" applyAlignment="1"/>
    <xf numFmtId="164" fontId="0" fillId="3" borderId="15" xfId="0" applyNumberFormat="1" applyFont="1" applyFill="1" applyBorder="1" applyAlignment="1"/>
    <xf numFmtId="164" fontId="0" fillId="5" borderId="10" xfId="0" applyNumberFormat="1" applyFont="1" applyFill="1" applyBorder="1" applyAlignment="1"/>
    <xf numFmtId="164" fontId="0" fillId="5" borderId="13" xfId="0" applyNumberFormat="1" applyFont="1" applyFill="1" applyBorder="1" applyAlignment="1"/>
    <xf numFmtId="164" fontId="0" fillId="3" borderId="13" xfId="0" applyNumberFormat="1" applyFont="1" applyFill="1" applyBorder="1" applyAlignment="1"/>
    <xf numFmtId="164" fontId="0" fillId="2" borderId="16" xfId="0" applyNumberFormat="1" applyFont="1" applyFill="1" applyBorder="1" applyAlignment="1"/>
    <xf numFmtId="164" fontId="0" fillId="4" borderId="12" xfId="0" applyNumberFormat="1" applyFont="1" applyFill="1" applyBorder="1" applyAlignment="1"/>
    <xf numFmtId="164" fontId="0" fillId="4" borderId="14" xfId="0" applyNumberFormat="1" applyFont="1" applyFill="1" applyBorder="1" applyAlignment="1"/>
    <xf numFmtId="164" fontId="0" fillId="4" borderId="15" xfId="0" applyNumberFormat="1" applyFont="1" applyFill="1" applyBorder="1" applyAlignment="1"/>
    <xf numFmtId="164" fontId="0" fillId="0" borderId="12" xfId="0" applyNumberFormat="1" applyFont="1" applyBorder="1" applyAlignment="1"/>
    <xf numFmtId="164" fontId="0" fillId="0" borderId="14" xfId="0" applyNumberFormat="1" applyFont="1" applyBorder="1" applyAlignment="1"/>
    <xf numFmtId="164" fontId="0" fillId="3" borderId="10" xfId="0" applyNumberFormat="1" applyFont="1" applyFill="1" applyBorder="1" applyAlignment="1"/>
    <xf numFmtId="0" fontId="3" fillId="0" borderId="0" xfId="0" applyFont="1"/>
    <xf numFmtId="0" fontId="2" fillId="0" borderId="0" xfId="2"/>
    <xf numFmtId="0" fontId="2" fillId="8" borderId="0" xfId="2" applyFill="1"/>
    <xf numFmtId="0" fontId="2" fillId="0" borderId="0" xfId="2" applyFont="1"/>
    <xf numFmtId="11" fontId="2" fillId="0" borderId="0" xfId="2" applyNumberFormat="1"/>
    <xf numFmtId="164" fontId="2" fillId="16" borderId="0" xfId="2" applyNumberFormat="1" applyFill="1"/>
    <xf numFmtId="0" fontId="2" fillId="16" borderId="0" xfId="2" applyFill="1"/>
    <xf numFmtId="164" fontId="2" fillId="14" borderId="0" xfId="2" applyNumberFormat="1" applyFill="1"/>
    <xf numFmtId="0" fontId="2" fillId="14" borderId="0" xfId="2" applyFill="1"/>
    <xf numFmtId="164" fontId="2" fillId="0" borderId="0" xfId="2" applyNumberFormat="1"/>
    <xf numFmtId="164" fontId="2" fillId="0" borderId="16" xfId="2" applyNumberFormat="1" applyBorder="1"/>
    <xf numFmtId="164" fontId="2" fillId="0" borderId="13" xfId="2" applyNumberFormat="1" applyBorder="1"/>
    <xf numFmtId="164" fontId="2" fillId="0" borderId="10" xfId="2" applyNumberFormat="1" applyBorder="1"/>
    <xf numFmtId="164" fontId="2" fillId="0" borderId="0" xfId="2" applyNumberFormat="1" applyFont="1"/>
    <xf numFmtId="164" fontId="2" fillId="0" borderId="15" xfId="2" applyNumberFormat="1" applyBorder="1"/>
    <xf numFmtId="164" fontId="2" fillId="0" borderId="0" xfId="2" applyNumberFormat="1" applyBorder="1"/>
    <xf numFmtId="164" fontId="2" fillId="0" borderId="8" xfId="2" applyNumberFormat="1" applyBorder="1"/>
    <xf numFmtId="164" fontId="2" fillId="0" borderId="14" xfId="2" applyNumberFormat="1" applyBorder="1"/>
    <xf numFmtId="164" fontId="2" fillId="0" borderId="12" xfId="2" applyNumberFormat="1" applyBorder="1"/>
    <xf numFmtId="164" fontId="2" fillId="0" borderId="6" xfId="2" applyNumberFormat="1" applyBorder="1"/>
    <xf numFmtId="0" fontId="16" fillId="0" borderId="0" xfId="2" applyFont="1"/>
    <xf numFmtId="0" fontId="2" fillId="0" borderId="0" xfId="2" applyNumberFormat="1"/>
    <xf numFmtId="164" fontId="10" fillId="0" borderId="0" xfId="2" applyNumberFormat="1" applyFont="1" applyBorder="1" applyProtection="1">
      <protection locked="0"/>
    </xf>
    <xf numFmtId="2" fontId="10" fillId="0" borderId="0" xfId="2" applyNumberFormat="1" applyFont="1"/>
    <xf numFmtId="0" fontId="2" fillId="16" borderId="0" xfId="2" applyFont="1" applyFill="1"/>
    <xf numFmtId="0" fontId="2" fillId="14" borderId="0" xfId="2" applyFont="1" applyFill="1"/>
    <xf numFmtId="2" fontId="2" fillId="0" borderId="0" xfId="2" applyNumberFormat="1"/>
    <xf numFmtId="164" fontId="2" fillId="0" borderId="11" xfId="2" applyNumberFormat="1" applyBorder="1"/>
    <xf numFmtId="164" fontId="2" fillId="0" borderId="5" xfId="2" applyNumberFormat="1" applyBorder="1"/>
    <xf numFmtId="164" fontId="2" fillId="0" borderId="4" xfId="2" applyNumberFormat="1" applyBorder="1"/>
    <xf numFmtId="164" fontId="2" fillId="0" borderId="9" xfId="2" applyNumberFormat="1" applyBorder="1"/>
    <xf numFmtId="164" fontId="2" fillId="0" borderId="3" xfId="2" applyNumberFormat="1" applyBorder="1"/>
    <xf numFmtId="0" fontId="2" fillId="17" borderId="0" xfId="2" applyFont="1" applyFill="1" applyAlignment="1">
      <alignment horizontal="center"/>
    </xf>
    <xf numFmtId="164" fontId="2" fillId="12" borderId="16" xfId="2" applyNumberFormat="1" applyFill="1" applyBorder="1"/>
    <xf numFmtId="0" fontId="2" fillId="12" borderId="10" xfId="2" applyFill="1" applyBorder="1"/>
    <xf numFmtId="164" fontId="2" fillId="15" borderId="0" xfId="2" applyNumberFormat="1" applyFont="1" applyFill="1" applyAlignment="1">
      <alignment horizontal="center"/>
    </xf>
    <xf numFmtId="164" fontId="2" fillId="12" borderId="14" xfId="2" applyNumberFormat="1" applyFill="1" applyBorder="1"/>
    <xf numFmtId="0" fontId="2" fillId="12" borderId="6" xfId="2" applyFill="1" applyBorder="1"/>
    <xf numFmtId="0" fontId="2" fillId="0" borderId="0" xfId="2" applyAlignment="1">
      <alignment horizontal="left"/>
    </xf>
    <xf numFmtId="0" fontId="2" fillId="0" borderId="0" xfId="2" applyFont="1" applyAlignment="1">
      <alignment horizontal="right"/>
    </xf>
    <xf numFmtId="164" fontId="16" fillId="0" borderId="0" xfId="2" applyNumberFormat="1" applyFont="1"/>
    <xf numFmtId="49" fontId="2" fillId="0" borderId="0" xfId="2" applyNumberFormat="1" applyFill="1" applyBorder="1"/>
    <xf numFmtId="164" fontId="2" fillId="0" borderId="7" xfId="2" applyNumberFormat="1" applyBorder="1"/>
    <xf numFmtId="164" fontId="2" fillId="0" borderId="2" xfId="2" applyNumberFormat="1" applyBorder="1"/>
    <xf numFmtId="164" fontId="2" fillId="0" borderId="1" xfId="2" applyNumberFormat="1" applyBorder="1"/>
    <xf numFmtId="164" fontId="2" fillId="0" borderId="16" xfId="2" applyNumberFormat="1" applyBorder="1" applyAlignment="1">
      <alignment horizontal="left"/>
    </xf>
    <xf numFmtId="164" fontId="2" fillId="0" borderId="13" xfId="2" applyNumberFormat="1" applyBorder="1" applyAlignment="1">
      <alignment horizontal="right"/>
    </xf>
    <xf numFmtId="164" fontId="2" fillId="0" borderId="13" xfId="2" applyNumberFormat="1" applyBorder="1" applyAlignment="1">
      <alignment horizontal="left"/>
    </xf>
    <xf numFmtId="164" fontId="2" fillId="0" borderId="10" xfId="2" applyNumberFormat="1" applyBorder="1" applyAlignment="1">
      <alignment horizontal="right"/>
    </xf>
    <xf numFmtId="164" fontId="2" fillId="0" borderId="15" xfId="2" applyNumberFormat="1" applyBorder="1" applyAlignment="1">
      <alignment horizontal="left"/>
    </xf>
    <xf numFmtId="164" fontId="2" fillId="0" borderId="0" xfId="2" applyNumberFormat="1" applyBorder="1" applyAlignment="1">
      <alignment horizontal="right"/>
    </xf>
    <xf numFmtId="164" fontId="2" fillId="0" borderId="0" xfId="2" applyNumberFormat="1" applyBorder="1" applyAlignment="1">
      <alignment horizontal="left"/>
    </xf>
    <xf numFmtId="164" fontId="2" fillId="0" borderId="8" xfId="2" applyNumberFormat="1" applyBorder="1" applyAlignment="1">
      <alignment horizontal="right"/>
    </xf>
    <xf numFmtId="164" fontId="2" fillId="0" borderId="14" xfId="2" applyNumberFormat="1" applyBorder="1" applyAlignment="1">
      <alignment horizontal="left"/>
    </xf>
    <xf numFmtId="164" fontId="2" fillId="0" borderId="12" xfId="2" applyNumberFormat="1" applyBorder="1" applyAlignment="1">
      <alignment horizontal="right"/>
    </xf>
    <xf numFmtId="164" fontId="2" fillId="0" borderId="12" xfId="2" applyNumberFormat="1" applyBorder="1" applyAlignment="1">
      <alignment horizontal="left"/>
    </xf>
    <xf numFmtId="164" fontId="2" fillId="0" borderId="6" xfId="2" applyNumberFormat="1" applyBorder="1" applyAlignment="1">
      <alignment horizontal="right"/>
    </xf>
    <xf numFmtId="0" fontId="2" fillId="0" borderId="16" xfId="2" applyBorder="1"/>
    <xf numFmtId="0" fontId="2" fillId="0" borderId="13" xfId="2" applyBorder="1"/>
    <xf numFmtId="0" fontId="2" fillId="0" borderId="26" xfId="2" applyNumberFormat="1" applyBorder="1"/>
    <xf numFmtId="49" fontId="2" fillId="0" borderId="10" xfId="2" applyNumberFormat="1" applyBorder="1"/>
    <xf numFmtId="0" fontId="2" fillId="0" borderId="15" xfId="2" applyBorder="1"/>
    <xf numFmtId="49" fontId="2" fillId="0" borderId="21" xfId="2" applyNumberFormat="1" applyBorder="1"/>
    <xf numFmtId="0" fontId="2" fillId="0" borderId="0" xfId="2" applyBorder="1"/>
    <xf numFmtId="49" fontId="2" fillId="0" borderId="8" xfId="2" applyNumberFormat="1" applyBorder="1"/>
    <xf numFmtId="0" fontId="2" fillId="0" borderId="14" xfId="2" applyBorder="1"/>
    <xf numFmtId="0" fontId="2" fillId="0" borderId="12" xfId="2" applyBorder="1"/>
    <xf numFmtId="0" fontId="2" fillId="0" borderId="25" xfId="2" applyNumberFormat="1" applyBorder="1"/>
    <xf numFmtId="49" fontId="2" fillId="0" borderId="6" xfId="2" applyNumberFormat="1" applyBorder="1"/>
    <xf numFmtId="0" fontId="2" fillId="0" borderId="16" xfId="2" applyNumberFormat="1" applyBorder="1"/>
    <xf numFmtId="49" fontId="2" fillId="0" borderId="13" xfId="2" applyNumberFormat="1" applyBorder="1"/>
    <xf numFmtId="49" fontId="2" fillId="0" borderId="10" xfId="2" applyNumberFormat="1" applyBorder="1" applyAlignment="1"/>
    <xf numFmtId="0" fontId="2" fillId="0" borderId="14" xfId="2" applyNumberFormat="1" applyBorder="1"/>
    <xf numFmtId="49" fontId="2" fillId="0" borderId="12" xfId="2" applyNumberFormat="1" applyBorder="1"/>
    <xf numFmtId="49" fontId="2" fillId="0" borderId="6" xfId="2" applyNumberFormat="1" applyBorder="1" applyAlignment="1"/>
    <xf numFmtId="0" fontId="1" fillId="0" borderId="0" xfId="2" applyFont="1"/>
    <xf numFmtId="0" fontId="1" fillId="0" borderId="0" xfId="0" applyFont="1"/>
    <xf numFmtId="0" fontId="17" fillId="0" borderId="0" xfId="0" applyFont="1"/>
  </cellXfs>
  <cellStyles count="3">
    <cellStyle name="Standard" xfId="0" builtinId="0"/>
    <cellStyle name="Standard 2" xfId="1" xr:uid="{06EFF8C1-7410-45B5-A7EB-4D9711541F20}"/>
    <cellStyle name="Standard 3" xfId="2" xr:uid="{BE18D42E-0F7C-47B2-92E7-6B3F0A5AF9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B58D0-8505-40CA-886E-D04E9E791F76}">
  <dimension ref="B2:AD87"/>
  <sheetViews>
    <sheetView topLeftCell="A28" workbookViewId="0">
      <selection activeCell="Z69" sqref="Z69"/>
    </sheetView>
  </sheetViews>
  <sheetFormatPr baseColWidth="10" defaultColWidth="11" defaultRowHeight="15"/>
  <cols>
    <col min="1" max="1" width="2" style="119" customWidth="1"/>
    <col min="2" max="7" width="13.28515625" style="119" customWidth="1"/>
    <col min="8" max="8" width="12.42578125" style="119" customWidth="1"/>
    <col min="9" max="9" width="12.85546875" style="119" customWidth="1"/>
    <col min="10" max="10" width="12.42578125" style="119" customWidth="1"/>
    <col min="11" max="11" width="13.28515625" style="119" customWidth="1"/>
    <col min="12" max="12" width="12.85546875" style="119" customWidth="1"/>
    <col min="13" max="13" width="13.28515625" style="119" customWidth="1"/>
    <col min="14" max="14" width="14.85546875" style="119" customWidth="1"/>
    <col min="15" max="15" width="13.28515625" style="119" customWidth="1"/>
    <col min="16" max="16" width="15.28515625" style="119" customWidth="1"/>
    <col min="17" max="17" width="13.28515625" style="119" customWidth="1"/>
    <col min="18" max="18" width="11.42578125" style="119" customWidth="1"/>
    <col min="19" max="19" width="13.28515625" style="119" customWidth="1"/>
    <col min="20" max="20" width="6.85546875" style="119" customWidth="1"/>
    <col min="21" max="21" width="13.85546875" style="119" customWidth="1"/>
    <col min="22" max="25" width="11" style="119"/>
    <col min="26" max="26" width="13.85546875" style="119" customWidth="1"/>
    <col min="27" max="27" width="11" style="119"/>
    <col min="28" max="28" width="16.28515625" style="119" customWidth="1"/>
    <col min="29" max="29" width="12.28515625" style="119" bestFit="1" customWidth="1"/>
    <col min="30" max="30" width="14.140625" style="119" customWidth="1"/>
    <col min="31" max="16384" width="11" style="119"/>
  </cols>
  <sheetData>
    <row r="2" spans="2:21">
      <c r="B2" s="119" t="s">
        <v>291</v>
      </c>
    </row>
    <row r="3" spans="2:21">
      <c r="B3" s="121" t="s">
        <v>292</v>
      </c>
      <c r="E3" s="121" t="s">
        <v>160</v>
      </c>
    </row>
    <row r="4" spans="2:21">
      <c r="B4" s="144" t="s">
        <v>289</v>
      </c>
      <c r="C4" s="144"/>
      <c r="D4" s="144"/>
      <c r="E4" s="144"/>
    </row>
    <row r="5" spans="2:21">
      <c r="B5" s="119" t="s">
        <v>290</v>
      </c>
      <c r="C5" s="144"/>
      <c r="D5" s="144"/>
      <c r="E5" s="144"/>
    </row>
    <row r="6" spans="2:21">
      <c r="B6" s="121" t="s">
        <v>293</v>
      </c>
      <c r="E6" s="119" t="s">
        <v>161</v>
      </c>
    </row>
    <row r="7" spans="2:21">
      <c r="B7" s="144" t="s">
        <v>289</v>
      </c>
    </row>
    <row r="8" spans="2:21">
      <c r="B8" s="144"/>
    </row>
    <row r="9" spans="2:21">
      <c r="B9" s="119" t="s">
        <v>288</v>
      </c>
      <c r="E9" s="119" t="s">
        <v>286</v>
      </c>
      <c r="J9" s="121" t="s">
        <v>287</v>
      </c>
    </row>
    <row r="11" spans="2:21">
      <c r="B11" s="162">
        <v>6.7623706999999993E-5</v>
      </c>
      <c r="C11" s="161">
        <v>4.9232579000000003E-5</v>
      </c>
      <c r="D11" s="161">
        <v>4.9231991000000001E-5</v>
      </c>
      <c r="E11" s="161">
        <v>4.9403588999999999E-5</v>
      </c>
      <c r="F11" s="161">
        <v>4.9232579000000003E-5</v>
      </c>
      <c r="G11" s="160">
        <v>4.9231991000000001E-5</v>
      </c>
      <c r="I11" s="174" t="s">
        <v>1</v>
      </c>
      <c r="J11" s="172" t="s">
        <v>2</v>
      </c>
      <c r="K11" s="173">
        <f>B12</f>
        <v>6.8802301999999998E-4</v>
      </c>
      <c r="L11" s="172" t="s">
        <v>3</v>
      </c>
      <c r="M11" s="173">
        <f>C12</f>
        <v>4.2970524000000002E-4</v>
      </c>
      <c r="N11" s="172" t="s">
        <v>4</v>
      </c>
      <c r="O11" s="173">
        <f>D12</f>
        <v>3.8615359E-4</v>
      </c>
      <c r="P11" s="172" t="s">
        <v>5</v>
      </c>
      <c r="Q11" s="173">
        <f>E12</f>
        <v>6.2809826000000005E-4</v>
      </c>
      <c r="R11" s="172" t="s">
        <v>6</v>
      </c>
      <c r="S11" s="173">
        <f>F12</f>
        <v>4.2970524000000002E-4</v>
      </c>
      <c r="T11" s="172" t="s">
        <v>7</v>
      </c>
      <c r="U11" s="171">
        <f>G12</f>
        <v>3.8615359E-4</v>
      </c>
    </row>
    <row r="12" spans="2:21">
      <c r="B12" s="149">
        <v>6.8802301999999998E-4</v>
      </c>
      <c r="C12" s="133">
        <v>4.2970524000000002E-4</v>
      </c>
      <c r="D12" s="133">
        <v>3.8615359E-4</v>
      </c>
      <c r="E12" s="133">
        <v>6.2809826000000005E-4</v>
      </c>
      <c r="F12" s="133">
        <v>4.2970524000000002E-4</v>
      </c>
      <c r="G12" s="148">
        <v>3.8615359E-4</v>
      </c>
      <c r="I12" s="170" t="s">
        <v>1</v>
      </c>
      <c r="J12" s="168" t="s">
        <v>8</v>
      </c>
      <c r="K12" s="169">
        <f>B15</f>
        <v>4.2970524000000002E-4</v>
      </c>
      <c r="L12" s="168" t="s">
        <v>9</v>
      </c>
      <c r="M12" s="169">
        <f>C15</f>
        <v>6.8802301999999998E-4</v>
      </c>
      <c r="N12" s="168" t="s">
        <v>10</v>
      </c>
      <c r="O12" s="169">
        <f>D15</f>
        <v>4.2970524000000002E-4</v>
      </c>
      <c r="P12" s="168" t="s">
        <v>11</v>
      </c>
      <c r="Q12" s="169">
        <f>E15</f>
        <v>4.2970524000000002E-4</v>
      </c>
      <c r="R12" s="168" t="s">
        <v>12</v>
      </c>
      <c r="S12" s="169">
        <f>F15</f>
        <v>6.2809826000000005E-4</v>
      </c>
      <c r="T12" s="168" t="s">
        <v>13</v>
      </c>
      <c r="U12" s="167">
        <f>G15</f>
        <v>4.2970524000000002E-4</v>
      </c>
    </row>
    <row r="13" spans="2:21">
      <c r="B13" s="149"/>
      <c r="C13" s="133"/>
      <c r="D13" s="133"/>
      <c r="E13" s="133"/>
      <c r="F13" s="133"/>
      <c r="G13" s="148"/>
      <c r="I13" s="170" t="s">
        <v>1</v>
      </c>
      <c r="J13" s="168" t="s">
        <v>14</v>
      </c>
      <c r="K13" s="169">
        <f>B18</f>
        <v>3.8615359E-4</v>
      </c>
      <c r="L13" s="168" t="s">
        <v>15</v>
      </c>
      <c r="M13" s="169">
        <f>C18</f>
        <v>4.2970524000000002E-4</v>
      </c>
      <c r="N13" s="168" t="s">
        <v>16</v>
      </c>
      <c r="O13" s="169">
        <f>D18</f>
        <v>6.8802301999999998E-4</v>
      </c>
      <c r="P13" s="168" t="s">
        <v>17</v>
      </c>
      <c r="Q13" s="169">
        <f>E18</f>
        <v>3.8615359E-4</v>
      </c>
      <c r="R13" s="168" t="s">
        <v>18</v>
      </c>
      <c r="S13" s="169">
        <f>F18</f>
        <v>4.2970524000000002E-4</v>
      </c>
      <c r="T13" s="168" t="s">
        <v>19</v>
      </c>
      <c r="U13" s="167">
        <f>G18</f>
        <v>6.2809826000000005E-4</v>
      </c>
    </row>
    <row r="14" spans="2:21">
      <c r="B14" s="149">
        <v>4.9232579000000003E-5</v>
      </c>
      <c r="C14" s="133">
        <v>6.7623706999999993E-5</v>
      </c>
      <c r="D14" s="133">
        <v>4.9232579000000003E-5</v>
      </c>
      <c r="E14" s="133">
        <v>4.9232579000000003E-5</v>
      </c>
      <c r="F14" s="133">
        <v>4.9403588999999999E-5</v>
      </c>
      <c r="G14" s="148">
        <v>4.9232579000000003E-5</v>
      </c>
      <c r="I14" s="170" t="s">
        <v>1</v>
      </c>
      <c r="J14" s="168" t="s">
        <v>20</v>
      </c>
      <c r="K14" s="169">
        <f>B21</f>
        <v>6.2809826000000005E-4</v>
      </c>
      <c r="L14" s="168" t="s">
        <v>21</v>
      </c>
      <c r="M14" s="169">
        <f>C21</f>
        <v>4.2970524000000002E-4</v>
      </c>
      <c r="N14" s="168" t="s">
        <v>22</v>
      </c>
      <c r="O14" s="169">
        <f>D21</f>
        <v>3.8615359E-4</v>
      </c>
      <c r="P14" s="168" t="s">
        <v>23</v>
      </c>
      <c r="Q14" s="169">
        <f>E21</f>
        <v>6.2687196000000005E-4</v>
      </c>
      <c r="R14" s="168" t="s">
        <v>24</v>
      </c>
      <c r="S14" s="169">
        <f>F21</f>
        <v>4.2970524000000002E-4</v>
      </c>
      <c r="T14" s="168" t="s">
        <v>25</v>
      </c>
      <c r="U14" s="167">
        <f>G21</f>
        <v>3.8615359E-4</v>
      </c>
    </row>
    <row r="15" spans="2:21">
      <c r="B15" s="149">
        <v>4.2970524000000002E-4</v>
      </c>
      <c r="C15" s="133">
        <v>6.8802301999999998E-4</v>
      </c>
      <c r="D15" s="133">
        <v>4.2970524000000002E-4</v>
      </c>
      <c r="E15" s="133">
        <v>4.2970524000000002E-4</v>
      </c>
      <c r="F15" s="133">
        <v>6.2809826000000005E-4</v>
      </c>
      <c r="G15" s="148">
        <v>4.2970524000000002E-4</v>
      </c>
      <c r="I15" s="170" t="s">
        <v>1</v>
      </c>
      <c r="J15" s="168" t="s">
        <v>26</v>
      </c>
      <c r="K15" s="169">
        <f>B24</f>
        <v>4.2970524000000002E-4</v>
      </c>
      <c r="L15" s="168" t="s">
        <v>27</v>
      </c>
      <c r="M15" s="169">
        <f>C24</f>
        <v>6.2809826000000005E-4</v>
      </c>
      <c r="N15" s="168" t="s">
        <v>28</v>
      </c>
      <c r="O15" s="169">
        <f>D24</f>
        <v>4.2970524000000002E-4</v>
      </c>
      <c r="P15" s="168" t="s">
        <v>29</v>
      </c>
      <c r="Q15" s="169">
        <f>E24</f>
        <v>4.2970524000000002E-4</v>
      </c>
      <c r="R15" s="168" t="s">
        <v>30</v>
      </c>
      <c r="S15" s="169">
        <f>F24</f>
        <v>6.2687196000000005E-4</v>
      </c>
      <c r="T15" s="168" t="s">
        <v>31</v>
      </c>
      <c r="U15" s="167">
        <f>G24</f>
        <v>4.2970524000000002E-4</v>
      </c>
    </row>
    <row r="16" spans="2:21" ht="15.75" thickBot="1">
      <c r="B16" s="149"/>
      <c r="C16" s="133"/>
      <c r="D16" s="133"/>
      <c r="E16" s="133"/>
      <c r="F16" s="133"/>
      <c r="G16" s="148"/>
      <c r="I16" s="166" t="s">
        <v>1</v>
      </c>
      <c r="J16" s="164" t="s">
        <v>32</v>
      </c>
      <c r="K16" s="165">
        <f>B27</f>
        <v>3.8615359E-4</v>
      </c>
      <c r="L16" s="164" t="s">
        <v>33</v>
      </c>
      <c r="M16" s="165">
        <f>C27</f>
        <v>4.2970524000000002E-4</v>
      </c>
      <c r="N16" s="164" t="s">
        <v>34</v>
      </c>
      <c r="O16" s="165">
        <f>D27</f>
        <v>6.2809826000000005E-4</v>
      </c>
      <c r="P16" s="164" t="s">
        <v>35</v>
      </c>
      <c r="Q16" s="165">
        <f>E27</f>
        <v>3.8615359E-4</v>
      </c>
      <c r="R16" s="164" t="s">
        <v>36</v>
      </c>
      <c r="S16" s="165">
        <f>F27</f>
        <v>4.2970524000000002E-4</v>
      </c>
      <c r="T16" s="164" t="s">
        <v>37</v>
      </c>
      <c r="U16" s="163">
        <f>G27</f>
        <v>6.2687196000000005E-4</v>
      </c>
    </row>
    <row r="17" spans="2:21">
      <c r="B17" s="149">
        <v>4.9231991000000001E-5</v>
      </c>
      <c r="C17" s="133">
        <v>4.9232579000000003E-5</v>
      </c>
      <c r="D17" s="133">
        <v>6.7623706999999993E-5</v>
      </c>
      <c r="E17" s="133">
        <v>4.9231991000000001E-5</v>
      </c>
      <c r="F17" s="133">
        <v>4.9232579000000003E-5</v>
      </c>
      <c r="G17" s="148">
        <v>4.9403588999999999E-5</v>
      </c>
      <c r="I17" s="192" t="s">
        <v>1</v>
      </c>
      <c r="J17" s="191" t="s">
        <v>38</v>
      </c>
      <c r="K17" s="190">
        <f>B33</f>
        <v>3.3709500000000001E-10</v>
      </c>
    </row>
    <row r="18" spans="2:21" ht="15.75" thickBot="1">
      <c r="B18" s="149">
        <v>3.8615359E-4</v>
      </c>
      <c r="C18" s="133">
        <v>4.2970524000000002E-4</v>
      </c>
      <c r="D18" s="133">
        <v>6.8802301999999998E-4</v>
      </c>
      <c r="E18" s="133">
        <v>3.8615359E-4</v>
      </c>
      <c r="F18" s="133">
        <v>4.2970524000000002E-4</v>
      </c>
      <c r="G18" s="148">
        <v>6.2809826000000005E-4</v>
      </c>
      <c r="I18" s="189" t="s">
        <v>1</v>
      </c>
      <c r="J18" s="188" t="s">
        <v>39</v>
      </c>
      <c r="K18" s="187">
        <f>E42</f>
        <v>2.5547801000000002E-9</v>
      </c>
    </row>
    <row r="19" spans="2:21" ht="15.75" thickBot="1">
      <c r="B19" s="149"/>
      <c r="C19" s="133"/>
      <c r="D19" s="133"/>
      <c r="E19" s="133"/>
      <c r="F19" s="133"/>
      <c r="G19" s="148"/>
    </row>
    <row r="20" spans="2:21">
      <c r="B20" s="149">
        <v>4.9403588999999999E-5</v>
      </c>
      <c r="C20" s="133">
        <v>4.9232579000000003E-5</v>
      </c>
      <c r="D20" s="133">
        <v>4.9231991000000001E-5</v>
      </c>
      <c r="E20" s="133">
        <v>6.2204128000000006E-5</v>
      </c>
      <c r="F20" s="133">
        <v>4.9232579000000003E-5</v>
      </c>
      <c r="G20" s="148">
        <v>4.9231991000000001E-5</v>
      </c>
      <c r="I20" s="186" t="s">
        <v>40</v>
      </c>
      <c r="J20" s="185">
        <f>B11</f>
        <v>6.7623706999999993E-5</v>
      </c>
      <c r="K20" s="184"/>
      <c r="L20" s="183"/>
    </row>
    <row r="21" spans="2:21">
      <c r="B21" s="149">
        <v>6.2809826000000005E-4</v>
      </c>
      <c r="C21" s="133">
        <v>4.2970524000000002E-4</v>
      </c>
      <c r="D21" s="133">
        <v>3.8615359E-4</v>
      </c>
      <c r="E21" s="133">
        <v>6.2687196000000005E-4</v>
      </c>
      <c r="F21" s="133">
        <v>4.2970524000000002E-4</v>
      </c>
      <c r="G21" s="148">
        <v>3.8615359E-4</v>
      </c>
      <c r="I21" s="182" t="s">
        <v>41</v>
      </c>
      <c r="J21" s="181" t="s">
        <v>42</v>
      </c>
      <c r="K21" s="180">
        <f>E20</f>
        <v>6.2204128000000006E-5</v>
      </c>
      <c r="L21" s="179" t="s">
        <v>43</v>
      </c>
    </row>
    <row r="22" spans="2:21" ht="15.75" thickBot="1">
      <c r="B22" s="149"/>
      <c r="C22" s="133"/>
      <c r="D22" s="133"/>
      <c r="E22" s="133"/>
      <c r="F22" s="133"/>
      <c r="G22" s="148"/>
      <c r="I22" s="178" t="s">
        <v>44</v>
      </c>
      <c r="J22" s="177">
        <f>B14</f>
        <v>4.9232579000000003E-5</v>
      </c>
      <c r="K22" s="176"/>
      <c r="L22" s="175"/>
    </row>
    <row r="23" spans="2:21">
      <c r="B23" s="149">
        <v>4.9232579000000003E-5</v>
      </c>
      <c r="C23" s="133">
        <v>4.9403588999999999E-5</v>
      </c>
      <c r="D23" s="133">
        <v>4.9232579000000003E-5</v>
      </c>
      <c r="E23" s="133">
        <v>4.9232579000000003E-5</v>
      </c>
      <c r="F23" s="133">
        <v>6.2204128000000006E-5</v>
      </c>
      <c r="G23" s="148">
        <v>4.9232579000000003E-5</v>
      </c>
    </row>
    <row r="24" spans="2:21">
      <c r="B24" s="149">
        <v>4.2970524000000002E-4</v>
      </c>
      <c r="C24" s="133">
        <v>6.2809826000000005E-4</v>
      </c>
      <c r="D24" s="133">
        <v>4.2970524000000002E-4</v>
      </c>
      <c r="E24" s="133">
        <v>4.2970524000000002E-4</v>
      </c>
      <c r="F24" s="133">
        <v>6.2687196000000005E-4</v>
      </c>
      <c r="G24" s="148">
        <v>4.2970524000000002E-4</v>
      </c>
      <c r="I24" s="121" t="s">
        <v>224</v>
      </c>
      <c r="R24" s="127"/>
    </row>
    <row r="25" spans="2:21" ht="15.75" thickBot="1">
      <c r="B25" s="149"/>
      <c r="C25" s="133"/>
      <c r="D25" s="133"/>
      <c r="E25" s="133"/>
      <c r="F25" s="133"/>
      <c r="G25" s="148"/>
      <c r="R25" s="127"/>
    </row>
    <row r="26" spans="2:21">
      <c r="B26" s="149">
        <v>4.9231991000000001E-5</v>
      </c>
      <c r="C26" s="133">
        <v>4.9232579000000003E-5</v>
      </c>
      <c r="D26" s="133">
        <v>4.9403588999999999E-5</v>
      </c>
      <c r="E26" s="133">
        <v>4.9231991000000001E-5</v>
      </c>
      <c r="F26" s="133">
        <v>4.9232579000000003E-5</v>
      </c>
      <c r="G26" s="148">
        <v>6.2204128000000006E-5</v>
      </c>
      <c r="I26" s="174" t="s">
        <v>1</v>
      </c>
      <c r="J26" s="172" t="s">
        <v>2</v>
      </c>
      <c r="K26" s="173">
        <f>(K11+M12+O13)/3</f>
        <v>6.8802301999999988E-4</v>
      </c>
      <c r="L26" s="172" t="s">
        <v>3</v>
      </c>
      <c r="M26" s="173">
        <f>K27</f>
        <v>4.151880233333334E-4</v>
      </c>
      <c r="N26" s="172" t="s">
        <v>4</v>
      </c>
      <c r="O26" s="173">
        <f>K27</f>
        <v>4.151880233333334E-4</v>
      </c>
      <c r="P26" s="172" t="s">
        <v>5</v>
      </c>
      <c r="Q26" s="173">
        <f>(Q11+S12+U13)/3</f>
        <v>6.2809826000000005E-4</v>
      </c>
      <c r="R26" s="172" t="s">
        <v>6</v>
      </c>
      <c r="S26" s="173">
        <f>Q27</f>
        <v>4.151880233333334E-4</v>
      </c>
      <c r="T26" s="172" t="s">
        <v>7</v>
      </c>
      <c r="U26" s="171">
        <f>Q27</f>
        <v>4.151880233333334E-4</v>
      </c>
    </row>
    <row r="27" spans="2:21" ht="15.75" thickBot="1">
      <c r="B27" s="147">
        <v>3.8615359E-4</v>
      </c>
      <c r="C27" s="146">
        <v>4.2970524000000002E-4</v>
      </c>
      <c r="D27" s="146">
        <v>6.2809826000000005E-4</v>
      </c>
      <c r="E27" s="146">
        <v>3.8615359E-4</v>
      </c>
      <c r="F27" s="146">
        <v>4.2970524000000002E-4</v>
      </c>
      <c r="G27" s="145">
        <v>6.2687196000000005E-4</v>
      </c>
      <c r="I27" s="170" t="s">
        <v>1</v>
      </c>
      <c r="J27" s="168" t="s">
        <v>8</v>
      </c>
      <c r="K27" s="169">
        <f>(K12+K13+M11+M13+O11+O12)/6</f>
        <v>4.151880233333334E-4</v>
      </c>
      <c r="L27" s="168" t="s">
        <v>9</v>
      </c>
      <c r="M27" s="169">
        <f>K26</f>
        <v>6.8802301999999988E-4</v>
      </c>
      <c r="N27" s="168" t="s">
        <v>10</v>
      </c>
      <c r="O27" s="169">
        <f>K27</f>
        <v>4.151880233333334E-4</v>
      </c>
      <c r="P27" s="168" t="s">
        <v>11</v>
      </c>
      <c r="Q27" s="169">
        <f>(Q12+Q13+S11+S13+U11+U12)/6</f>
        <v>4.151880233333334E-4</v>
      </c>
      <c r="R27" s="168" t="s">
        <v>12</v>
      </c>
      <c r="S27" s="169">
        <f>Q26</f>
        <v>6.2809826000000005E-4</v>
      </c>
      <c r="T27" s="168" t="s">
        <v>13</v>
      </c>
      <c r="U27" s="167">
        <f>Q27</f>
        <v>4.151880233333334E-4</v>
      </c>
    </row>
    <row r="28" spans="2:21">
      <c r="B28" s="127"/>
      <c r="C28" s="127"/>
      <c r="D28" s="127"/>
      <c r="E28" s="127"/>
      <c r="F28" s="127"/>
      <c r="G28" s="127"/>
      <c r="I28" s="170" t="s">
        <v>1</v>
      </c>
      <c r="J28" s="168" t="s">
        <v>14</v>
      </c>
      <c r="K28" s="169">
        <f>K27</f>
        <v>4.151880233333334E-4</v>
      </c>
      <c r="L28" s="168" t="s">
        <v>15</v>
      </c>
      <c r="M28" s="169">
        <f>K28</f>
        <v>4.151880233333334E-4</v>
      </c>
      <c r="N28" s="168" t="s">
        <v>16</v>
      </c>
      <c r="O28" s="169">
        <f>K26</f>
        <v>6.8802301999999988E-4</v>
      </c>
      <c r="P28" s="168" t="s">
        <v>17</v>
      </c>
      <c r="Q28" s="169">
        <f>Q27</f>
        <v>4.151880233333334E-4</v>
      </c>
      <c r="R28" s="168" t="s">
        <v>18</v>
      </c>
      <c r="S28" s="169">
        <f>Q27</f>
        <v>4.151880233333334E-4</v>
      </c>
      <c r="T28" s="168" t="s">
        <v>19</v>
      </c>
      <c r="U28" s="167">
        <f>Q26</f>
        <v>6.2809826000000005E-4</v>
      </c>
    </row>
    <row r="29" spans="2:21">
      <c r="B29" s="127"/>
      <c r="C29" s="127"/>
      <c r="D29" s="127"/>
      <c r="E29" s="127"/>
      <c r="F29" s="127"/>
      <c r="G29" s="127"/>
      <c r="I29" s="170" t="s">
        <v>1</v>
      </c>
      <c r="J29" s="168" t="s">
        <v>20</v>
      </c>
      <c r="K29" s="169">
        <f>(K14+M15+O16)/3</f>
        <v>6.2809826000000005E-4</v>
      </c>
      <c r="L29" s="168" t="s">
        <v>21</v>
      </c>
      <c r="M29" s="169">
        <f>K30</f>
        <v>4.151880233333334E-4</v>
      </c>
      <c r="N29" s="168" t="s">
        <v>22</v>
      </c>
      <c r="O29" s="169">
        <f>M29</f>
        <v>4.151880233333334E-4</v>
      </c>
      <c r="P29" s="168" t="s">
        <v>23</v>
      </c>
      <c r="Q29" s="169">
        <f>(Q14+S15+U16)/3</f>
        <v>6.2687196000000005E-4</v>
      </c>
      <c r="R29" s="168" t="s">
        <v>24</v>
      </c>
      <c r="S29" s="169">
        <f>Q30</f>
        <v>4.151880233333334E-4</v>
      </c>
      <c r="T29" s="168" t="s">
        <v>25</v>
      </c>
      <c r="U29" s="167">
        <f>Q30</f>
        <v>4.151880233333334E-4</v>
      </c>
    </row>
    <row r="30" spans="2:21">
      <c r="B30" s="127" t="s">
        <v>45</v>
      </c>
      <c r="C30" s="127"/>
      <c r="D30" s="127"/>
      <c r="E30" s="119" t="s">
        <v>286</v>
      </c>
      <c r="F30" s="127"/>
      <c r="G30" s="127"/>
      <c r="I30" s="170" t="s">
        <v>1</v>
      </c>
      <c r="J30" s="168" t="s">
        <v>26</v>
      </c>
      <c r="K30" s="169">
        <f>(K15+K16+M14+M16+O14+O15)/6</f>
        <v>4.151880233333334E-4</v>
      </c>
      <c r="L30" s="168" t="s">
        <v>27</v>
      </c>
      <c r="M30" s="169">
        <f>K29</f>
        <v>6.2809826000000005E-4</v>
      </c>
      <c r="N30" s="168" t="s">
        <v>28</v>
      </c>
      <c r="O30" s="169">
        <f>K30</f>
        <v>4.151880233333334E-4</v>
      </c>
      <c r="P30" s="168" t="s">
        <v>29</v>
      </c>
      <c r="Q30" s="169">
        <f>(Q15+Q16+S14+S16+U14+U15)/6</f>
        <v>4.151880233333334E-4</v>
      </c>
      <c r="R30" s="168" t="s">
        <v>30</v>
      </c>
      <c r="S30" s="169">
        <f>Q29</f>
        <v>6.2687196000000005E-4</v>
      </c>
      <c r="T30" s="168" t="s">
        <v>31</v>
      </c>
      <c r="U30" s="167">
        <f>Q30</f>
        <v>4.151880233333334E-4</v>
      </c>
    </row>
    <row r="31" spans="2:21" ht="15.75" thickBot="1">
      <c r="B31" s="127"/>
      <c r="C31" s="127"/>
      <c r="D31" s="127"/>
      <c r="E31" s="127"/>
      <c r="F31" s="127"/>
      <c r="G31" s="127"/>
      <c r="I31" s="166" t="s">
        <v>1</v>
      </c>
      <c r="J31" s="164" t="s">
        <v>32</v>
      </c>
      <c r="K31" s="165">
        <f>K30</f>
        <v>4.151880233333334E-4</v>
      </c>
      <c r="L31" s="164" t="s">
        <v>33</v>
      </c>
      <c r="M31" s="165">
        <f>K30</f>
        <v>4.151880233333334E-4</v>
      </c>
      <c r="N31" s="164" t="s">
        <v>34</v>
      </c>
      <c r="O31" s="165">
        <f>K29</f>
        <v>6.2809826000000005E-4</v>
      </c>
      <c r="P31" s="164" t="s">
        <v>35</v>
      </c>
      <c r="Q31" s="165">
        <f>Q30</f>
        <v>4.151880233333334E-4</v>
      </c>
      <c r="R31" s="164" t="s">
        <v>36</v>
      </c>
      <c r="S31" s="165">
        <f>Q30</f>
        <v>4.151880233333334E-4</v>
      </c>
      <c r="T31" s="164" t="s">
        <v>37</v>
      </c>
      <c r="U31" s="163">
        <f>Q29</f>
        <v>6.2687196000000005E-4</v>
      </c>
    </row>
    <row r="32" spans="2:21">
      <c r="B32" s="162">
        <v>0</v>
      </c>
      <c r="C32" s="161">
        <v>0</v>
      </c>
      <c r="D32" s="161">
        <v>0</v>
      </c>
      <c r="E32" s="161">
        <v>0</v>
      </c>
      <c r="F32" s="161">
        <v>0</v>
      </c>
      <c r="G32" s="160">
        <v>0</v>
      </c>
      <c r="S32" s="127"/>
    </row>
    <row r="33" spans="2:27">
      <c r="B33" s="149">
        <v>3.3709500000000001E-10</v>
      </c>
      <c r="C33" s="133">
        <v>0</v>
      </c>
      <c r="D33" s="133">
        <v>0</v>
      </c>
      <c r="E33" s="133">
        <v>-3.3709500000000001E-10</v>
      </c>
      <c r="F33" s="133">
        <v>0</v>
      </c>
      <c r="G33" s="148">
        <v>0</v>
      </c>
      <c r="S33" s="127"/>
    </row>
    <row r="34" spans="2:27">
      <c r="B34" s="149"/>
      <c r="C34" s="133"/>
      <c r="D34" s="133"/>
      <c r="E34" s="133"/>
      <c r="F34" s="133"/>
      <c r="G34" s="148"/>
    </row>
    <row r="35" spans="2:27">
      <c r="B35" s="149">
        <v>0</v>
      </c>
      <c r="C35" s="133">
        <v>0</v>
      </c>
      <c r="D35" s="133">
        <v>0</v>
      </c>
      <c r="E35" s="133">
        <v>0</v>
      </c>
      <c r="F35" s="133">
        <v>0</v>
      </c>
      <c r="G35" s="148">
        <v>0</v>
      </c>
    </row>
    <row r="36" spans="2:27">
      <c r="B36" s="149">
        <v>0</v>
      </c>
      <c r="C36" s="133">
        <v>3.3709500000000001E-10</v>
      </c>
      <c r="D36" s="133">
        <v>0</v>
      </c>
      <c r="E36" s="133">
        <v>0</v>
      </c>
      <c r="F36" s="133">
        <v>-3.3709500000000001E-10</v>
      </c>
      <c r="G36" s="148">
        <v>0</v>
      </c>
    </row>
    <row r="37" spans="2:27">
      <c r="B37" s="149"/>
      <c r="C37" s="133"/>
      <c r="D37" s="133"/>
      <c r="E37" s="133"/>
      <c r="F37" s="133"/>
      <c r="G37" s="148"/>
    </row>
    <row r="38" spans="2:27">
      <c r="B38" s="149">
        <v>0</v>
      </c>
      <c r="C38" s="133">
        <v>0</v>
      </c>
      <c r="D38" s="133">
        <v>0</v>
      </c>
      <c r="E38" s="133">
        <v>0</v>
      </c>
      <c r="F38" s="133">
        <v>0</v>
      </c>
      <c r="G38" s="148">
        <v>0</v>
      </c>
    </row>
    <row r="39" spans="2:27">
      <c r="B39" s="149">
        <v>0</v>
      </c>
      <c r="C39" s="133">
        <v>0</v>
      </c>
      <c r="D39" s="133">
        <v>3.3709500000000001E-10</v>
      </c>
      <c r="E39" s="133">
        <v>0</v>
      </c>
      <c r="F39" s="133">
        <v>0</v>
      </c>
      <c r="G39" s="148">
        <v>-3.3709500000000001E-10</v>
      </c>
      <c r="K39" s="159"/>
      <c r="R39" s="138" t="s">
        <v>285</v>
      </c>
      <c r="S39" s="158"/>
      <c r="T39" s="138"/>
      <c r="U39" s="138"/>
      <c r="V39" s="138"/>
    </row>
    <row r="40" spans="2:27" ht="15.75" thickBot="1">
      <c r="B40" s="149"/>
      <c r="C40" s="133"/>
      <c r="D40" s="133"/>
      <c r="E40" s="133"/>
      <c r="F40" s="133"/>
      <c r="G40" s="148"/>
      <c r="S40" s="127"/>
    </row>
    <row r="41" spans="2:27">
      <c r="B41" s="149">
        <v>0</v>
      </c>
      <c r="C41" s="133">
        <v>0</v>
      </c>
      <c r="D41" s="133">
        <v>0</v>
      </c>
      <c r="E41" s="133">
        <v>0</v>
      </c>
      <c r="F41" s="133">
        <v>0</v>
      </c>
      <c r="G41" s="148">
        <v>0</v>
      </c>
      <c r="K41" s="157" t="s">
        <v>222</v>
      </c>
      <c r="L41" s="156">
        <v>50</v>
      </c>
      <c r="R41" s="119" t="s">
        <v>284</v>
      </c>
      <c r="S41" s="127">
        <f>AVERAGE(SUM(K59+L59+M59),SUM(K60+L60+M60),SUM(K61+L61+M61))</f>
        <v>0.16608847300000001</v>
      </c>
      <c r="U41" s="119" t="s">
        <v>269</v>
      </c>
      <c r="X41" s="153" t="s">
        <v>283</v>
      </c>
      <c r="Y41" s="155" t="s">
        <v>282</v>
      </c>
      <c r="Z41" s="154" t="s">
        <v>281</v>
      </c>
      <c r="AA41" s="150" t="s">
        <v>280</v>
      </c>
    </row>
    <row r="42" spans="2:27" ht="15.75" thickBot="1">
      <c r="B42" s="149">
        <v>-3.3709500000000001E-10</v>
      </c>
      <c r="C42" s="133">
        <v>0</v>
      </c>
      <c r="D42" s="133">
        <v>0</v>
      </c>
      <c r="E42" s="133">
        <v>2.5547801000000002E-9</v>
      </c>
      <c r="F42" s="133">
        <v>0</v>
      </c>
      <c r="G42" s="148">
        <v>0</v>
      </c>
      <c r="I42" s="119" t="s">
        <v>220</v>
      </c>
      <c r="K42" s="119" t="s">
        <v>171</v>
      </c>
      <c r="L42" s="119" t="s">
        <v>250</v>
      </c>
      <c r="M42" s="119" t="s">
        <v>248</v>
      </c>
      <c r="N42" s="119" t="s">
        <v>246</v>
      </c>
      <c r="O42" s="119" t="s">
        <v>245</v>
      </c>
      <c r="P42" s="119" t="s">
        <v>243</v>
      </c>
      <c r="R42" s="119" t="s">
        <v>279</v>
      </c>
      <c r="S42" s="127">
        <f>AVERAGE(SUM(N59+O59+P59),SUM(N60+O60+P60),SUM(N61+O61+P61))</f>
        <v>0.14786835500000001</v>
      </c>
      <c r="U42" s="119" t="s">
        <v>269</v>
      </c>
      <c r="X42" s="153" t="s">
        <v>278</v>
      </c>
      <c r="Y42" s="152" t="s">
        <v>277</v>
      </c>
      <c r="Z42" s="151" t="s">
        <v>276</v>
      </c>
      <c r="AA42" s="150" t="s">
        <v>275</v>
      </c>
    </row>
    <row r="43" spans="2:27">
      <c r="B43" s="149"/>
      <c r="C43" s="133"/>
      <c r="D43" s="133"/>
      <c r="E43" s="133"/>
      <c r="F43" s="133"/>
      <c r="G43" s="148"/>
      <c r="J43" s="119" t="s">
        <v>171</v>
      </c>
      <c r="K43" s="137">
        <f>B12*1000/2/PI()/$L$41</f>
        <v>2.1900452918802793E-3</v>
      </c>
      <c r="L43" s="136">
        <f>K44</f>
        <v>1.3677942603697848E-3</v>
      </c>
      <c r="M43" s="136">
        <f>K45</f>
        <v>1.2291650528236217E-3</v>
      </c>
      <c r="N43" s="136">
        <f>K46</f>
        <v>1.99929885652837E-3</v>
      </c>
      <c r="O43" s="136">
        <f>K47</f>
        <v>1.3677942603697848E-3</v>
      </c>
      <c r="P43" s="135">
        <f>K48</f>
        <v>1.2291650528236217E-3</v>
      </c>
      <c r="R43" s="119" t="s">
        <v>274</v>
      </c>
      <c r="S43" s="127">
        <f>AVERAGE(SUM(N62+O62+P62),SUM(N63+O63+P63),SUM(N64+O64+P64))</f>
        <v>0.16066889400000001</v>
      </c>
      <c r="U43" s="119" t="s">
        <v>269</v>
      </c>
    </row>
    <row r="44" spans="2:27">
      <c r="B44" s="149">
        <v>0</v>
      </c>
      <c r="C44" s="133">
        <v>0</v>
      </c>
      <c r="D44" s="133">
        <v>0</v>
      </c>
      <c r="E44" s="133">
        <v>0</v>
      </c>
      <c r="F44" s="133">
        <v>0</v>
      </c>
      <c r="G44" s="148">
        <v>0</v>
      </c>
      <c r="J44" s="119" t="s">
        <v>250</v>
      </c>
      <c r="K44" s="134">
        <f>B15*1000/2/PI()/$L$41</f>
        <v>1.3677942603697848E-3</v>
      </c>
      <c r="L44" s="133">
        <f>C15*1000/2/PI()/$L$41</f>
        <v>2.1900452918802793E-3</v>
      </c>
      <c r="M44" s="133">
        <f>L45</f>
        <v>1.3677942603697848E-3</v>
      </c>
      <c r="N44" s="133">
        <f>L46</f>
        <v>1.3677942603697848E-3</v>
      </c>
      <c r="O44" s="133">
        <f>L47</f>
        <v>1.99929885652837E-3</v>
      </c>
      <c r="P44" s="132">
        <f>L48</f>
        <v>1.3677942603697848E-3</v>
      </c>
      <c r="R44" s="121" t="s">
        <v>273</v>
      </c>
      <c r="S44" s="127"/>
    </row>
    <row r="45" spans="2:27">
      <c r="B45" s="149">
        <v>0</v>
      </c>
      <c r="C45" s="133">
        <v>-3.3709500000000001E-10</v>
      </c>
      <c r="D45" s="133">
        <v>0</v>
      </c>
      <c r="E45" s="133">
        <v>0</v>
      </c>
      <c r="F45" s="133">
        <v>2.5547801000000002E-9</v>
      </c>
      <c r="G45" s="148">
        <v>0</v>
      </c>
      <c r="J45" s="119" t="s">
        <v>248</v>
      </c>
      <c r="K45" s="134">
        <f>B18*1000/2/PI()/$L$41</f>
        <v>1.2291650528236217E-3</v>
      </c>
      <c r="L45" s="133">
        <f>C18*1000/2/PI()/$L$41</f>
        <v>1.3677942603697848E-3</v>
      </c>
      <c r="M45" s="133">
        <f>D18*1000/2/PI()/$L$41</f>
        <v>2.1900452918802793E-3</v>
      </c>
      <c r="N45" s="133">
        <f>M46</f>
        <v>1.2291650528236217E-3</v>
      </c>
      <c r="O45" s="133">
        <f>M47</f>
        <v>1.3677942603697848E-3</v>
      </c>
      <c r="P45" s="132">
        <f>M48</f>
        <v>1.99929885652837E-3</v>
      </c>
      <c r="R45" s="131"/>
      <c r="S45" s="127"/>
    </row>
    <row r="46" spans="2:27">
      <c r="B46" s="149"/>
      <c r="C46" s="133"/>
      <c r="D46" s="133"/>
      <c r="E46" s="133"/>
      <c r="F46" s="133"/>
      <c r="G46" s="148"/>
      <c r="J46" s="119" t="s">
        <v>246</v>
      </c>
      <c r="K46" s="134">
        <f>B21*1000/2/PI()/$L$41</f>
        <v>1.99929885652837E-3</v>
      </c>
      <c r="L46" s="133">
        <f>C21*1000/2/PI()/$L$41</f>
        <v>1.3677942603697848E-3</v>
      </c>
      <c r="M46" s="133">
        <f>D21*1000/2/PI()/$L$41</f>
        <v>1.2291650528236217E-3</v>
      </c>
      <c r="N46" s="133">
        <f>E21*1000/2/PI()/$L$41</f>
        <v>1.9953954223940976E-3</v>
      </c>
      <c r="O46" s="133">
        <f>N47</f>
        <v>1.3677942603697848E-3</v>
      </c>
      <c r="P46" s="132">
        <f>N48</f>
        <v>1.2291650528236217E-3</v>
      </c>
      <c r="R46" s="121" t="s">
        <v>272</v>
      </c>
      <c r="S46" s="127">
        <f>AVERAGE(SUM(K68+L68+M68),SUM(K69+L69+M69),SUM(K70+L70+M70))</f>
        <v>1.5183990666666667</v>
      </c>
      <c r="U46" s="119" t="s">
        <v>269</v>
      </c>
    </row>
    <row r="47" spans="2:27">
      <c r="B47" s="149">
        <v>0</v>
      </c>
      <c r="C47" s="133">
        <v>0</v>
      </c>
      <c r="D47" s="133">
        <v>0</v>
      </c>
      <c r="E47" s="133">
        <v>0</v>
      </c>
      <c r="F47" s="133">
        <v>0</v>
      </c>
      <c r="G47" s="148">
        <v>0</v>
      </c>
      <c r="J47" s="119" t="s">
        <v>245</v>
      </c>
      <c r="K47" s="134">
        <f>B24*1000/2/PI()/$L$41</f>
        <v>1.3677942603697848E-3</v>
      </c>
      <c r="L47" s="133">
        <f>C24*1000/2/PI()/$L$41</f>
        <v>1.99929885652837E-3</v>
      </c>
      <c r="M47" s="133">
        <f>D24*1000/2/PI()/$L$41</f>
        <v>1.3677942603697848E-3</v>
      </c>
      <c r="N47" s="133">
        <f>E24*1000/2/PI()/$L$41</f>
        <v>1.3677942603697848E-3</v>
      </c>
      <c r="O47" s="133">
        <f>F24*1000/2/PI()/$L$41</f>
        <v>1.9953954223940976E-3</v>
      </c>
      <c r="P47" s="132">
        <f>O48</f>
        <v>1.3677942603697848E-3</v>
      </c>
      <c r="R47" s="121" t="s">
        <v>271</v>
      </c>
      <c r="S47" s="127">
        <f>AVERAGE(SUM(N68+O68+P68),SUM(N69+O69+P69),SUM(N70+O70+P70))</f>
        <v>1.4584743066666668</v>
      </c>
      <c r="U47" s="119" t="s">
        <v>269</v>
      </c>
    </row>
    <row r="48" spans="2:27" ht="15.75" thickBot="1">
      <c r="B48" s="147">
        <v>0</v>
      </c>
      <c r="C48" s="146">
        <v>0</v>
      </c>
      <c r="D48" s="146">
        <v>-3.3709500000000001E-10</v>
      </c>
      <c r="E48" s="146">
        <v>0</v>
      </c>
      <c r="F48" s="146">
        <v>0</v>
      </c>
      <c r="G48" s="145">
        <v>2.5547801000000002E-9</v>
      </c>
      <c r="J48" s="119" t="s">
        <v>243</v>
      </c>
      <c r="K48" s="130">
        <f t="shared" ref="K48:P48" si="0">B27*1000/2/PI()/$L$41</f>
        <v>1.2291650528236217E-3</v>
      </c>
      <c r="L48" s="129">
        <f t="shared" si="0"/>
        <v>1.3677942603697848E-3</v>
      </c>
      <c r="M48" s="129">
        <f t="shared" si="0"/>
        <v>1.99929885652837E-3</v>
      </c>
      <c r="N48" s="129">
        <f t="shared" si="0"/>
        <v>1.2291650528236217E-3</v>
      </c>
      <c r="O48" s="129">
        <f t="shared" si="0"/>
        <v>1.3677942603697848E-3</v>
      </c>
      <c r="P48" s="128">
        <f t="shared" si="0"/>
        <v>1.9953954223940976E-3</v>
      </c>
      <c r="R48" s="121" t="s">
        <v>270</v>
      </c>
      <c r="S48" s="127">
        <f>AVERAGE(SUM(N71+O71+P71),SUM(N72+O72+P72),SUM(N73+O73+P73))</f>
        <v>1.4572480066666664</v>
      </c>
      <c r="U48" s="119" t="s">
        <v>269</v>
      </c>
    </row>
    <row r="50" spans="2:30" ht="15.75" thickBot="1">
      <c r="I50" s="119" t="s">
        <v>218</v>
      </c>
      <c r="K50" s="119" t="s">
        <v>171</v>
      </c>
      <c r="L50" s="119" t="s">
        <v>250</v>
      </c>
      <c r="M50" s="119" t="s">
        <v>248</v>
      </c>
      <c r="N50" s="119" t="s">
        <v>246</v>
      </c>
      <c r="O50" s="119" t="s">
        <v>245</v>
      </c>
      <c r="P50" s="119" t="s">
        <v>243</v>
      </c>
      <c r="R50" s="119" t="s">
        <v>268</v>
      </c>
      <c r="S50" s="119" t="str">
        <f>COMPLEX(S41,S46)</f>
        <v>0.166088473+1.51839906666667i</v>
      </c>
    </row>
    <row r="51" spans="2:30">
      <c r="B51" s="141" t="s">
        <v>46</v>
      </c>
      <c r="C51" s="141"/>
      <c r="D51" s="141"/>
      <c r="E51" s="141"/>
      <c r="F51" s="144"/>
      <c r="J51" s="119" t="s">
        <v>171</v>
      </c>
      <c r="K51" s="137">
        <f>B33*1000</f>
        <v>3.3709499999999999E-7</v>
      </c>
      <c r="L51" s="136">
        <v>0</v>
      </c>
      <c r="M51" s="136">
        <v>0</v>
      </c>
      <c r="N51" s="136">
        <f>E33*1000</f>
        <v>-3.3709499999999999E-7</v>
      </c>
      <c r="O51" s="136">
        <v>0</v>
      </c>
      <c r="P51" s="135">
        <v>0</v>
      </c>
      <c r="R51" s="119" t="s">
        <v>267</v>
      </c>
      <c r="S51" s="119" t="str">
        <f>COMPLEX(S42,S47)</f>
        <v>0.147868355+1.45847430666667i</v>
      </c>
    </row>
    <row r="52" spans="2:30">
      <c r="B52" s="141" t="s">
        <v>47</v>
      </c>
      <c r="C52" s="141"/>
      <c r="D52" s="141"/>
      <c r="E52" s="141"/>
      <c r="F52" s="144"/>
      <c r="J52" s="119" t="s">
        <v>250</v>
      </c>
      <c r="K52" s="134">
        <v>0</v>
      </c>
      <c r="L52" s="133">
        <f>C36*1000</f>
        <v>3.3709499999999999E-7</v>
      </c>
      <c r="M52" s="133">
        <v>0</v>
      </c>
      <c r="N52" s="133">
        <v>0</v>
      </c>
      <c r="O52" s="133">
        <f>F36*1000</f>
        <v>-3.3709499999999999E-7</v>
      </c>
      <c r="P52" s="132">
        <v>0</v>
      </c>
      <c r="R52" s="119" t="s">
        <v>266</v>
      </c>
      <c r="S52" s="119" t="str">
        <f>COMPLEX(S43,S48)</f>
        <v>0.160668894+1.45724800666667i</v>
      </c>
      <c r="Z52" s="194" t="s">
        <v>296</v>
      </c>
    </row>
    <row r="53" spans="2:30">
      <c r="B53" s="141" t="s">
        <v>48</v>
      </c>
      <c r="C53" s="141"/>
      <c r="D53" s="141"/>
      <c r="E53" s="141"/>
      <c r="F53" s="144"/>
      <c r="J53" s="119" t="s">
        <v>248</v>
      </c>
      <c r="K53" s="134">
        <v>0</v>
      </c>
      <c r="L53" s="133">
        <v>0</v>
      </c>
      <c r="M53" s="133">
        <f>D39*1000</f>
        <v>3.3709499999999999E-7</v>
      </c>
      <c r="N53" s="133">
        <v>0</v>
      </c>
      <c r="O53" s="133">
        <v>0</v>
      </c>
      <c r="P53" s="132">
        <f>G39*1000</f>
        <v>-3.3709499999999999E-7</v>
      </c>
    </row>
    <row r="54" spans="2:30">
      <c r="B54" s="139"/>
      <c r="C54" s="139"/>
      <c r="D54" s="139"/>
      <c r="E54" s="139"/>
      <c r="F54" s="139"/>
      <c r="J54" s="119" t="s">
        <v>246</v>
      </c>
      <c r="K54" s="134">
        <f>B42*1000</f>
        <v>-3.3709499999999999E-7</v>
      </c>
      <c r="L54" s="133">
        <v>0</v>
      </c>
      <c r="M54" s="133">
        <v>0</v>
      </c>
      <c r="N54" s="133">
        <f>E42*1000</f>
        <v>2.5547801000000003E-6</v>
      </c>
      <c r="O54" s="133">
        <v>0</v>
      </c>
      <c r="P54" s="132">
        <v>0</v>
      </c>
      <c r="R54" s="131" t="s">
        <v>265</v>
      </c>
      <c r="S54" s="127"/>
      <c r="Z54" s="194" t="s">
        <v>295</v>
      </c>
      <c r="AA54" s="143" t="s">
        <v>263</v>
      </c>
      <c r="AB54" s="125">
        <f>IMREAL(IMSUB(S50,IMDIV(IMPRODUCT(S51,S51),S52)))</f>
        <v>3.1029806183071999E-2</v>
      </c>
      <c r="AC54" s="142" t="s">
        <v>262</v>
      </c>
      <c r="AD54" s="123">
        <f>IMAGINARY(IMSUB(S50,IMDIV(IMPRODUCT(S51,S51),S52)))</f>
        <v>5.88108773616101E-2</v>
      </c>
    </row>
    <row r="55" spans="2:30">
      <c r="B55" s="141" t="s">
        <v>46</v>
      </c>
      <c r="C55" s="140"/>
      <c r="D55" s="140"/>
      <c r="E55" s="139"/>
      <c r="F55" s="139"/>
      <c r="J55" s="119" t="s">
        <v>245</v>
      </c>
      <c r="K55" s="134">
        <v>0</v>
      </c>
      <c r="L55" s="133">
        <f>C45*1000</f>
        <v>-3.3709499999999999E-7</v>
      </c>
      <c r="M55" s="133">
        <v>0</v>
      </c>
      <c r="N55" s="133">
        <v>0</v>
      </c>
      <c r="O55" s="133">
        <f>F45*1000</f>
        <v>2.5547801000000003E-6</v>
      </c>
      <c r="P55" s="132">
        <v>0</v>
      </c>
      <c r="R55" s="121" t="s">
        <v>264</v>
      </c>
      <c r="X55" s="127"/>
      <c r="AA55" s="143" t="s">
        <v>263</v>
      </c>
      <c r="AB55" s="125">
        <f>S41</f>
        <v>0.16608847300000001</v>
      </c>
      <c r="AC55" s="142" t="s">
        <v>262</v>
      </c>
      <c r="AD55" s="123">
        <f>S46</f>
        <v>1.5183990666666667</v>
      </c>
    </row>
    <row r="56" spans="2:30" ht="15.75" thickBot="1">
      <c r="B56" s="141" t="s">
        <v>158</v>
      </c>
      <c r="C56" s="140"/>
      <c r="D56" s="140"/>
      <c r="E56" s="139"/>
      <c r="F56" s="139"/>
      <c r="J56" s="119" t="s">
        <v>243</v>
      </c>
      <c r="K56" s="130">
        <v>0</v>
      </c>
      <c r="L56" s="129">
        <v>0</v>
      </c>
      <c r="M56" s="129">
        <f>D48*1000</f>
        <v>-3.3709499999999999E-7</v>
      </c>
      <c r="N56" s="129">
        <v>0</v>
      </c>
      <c r="O56" s="129">
        <v>0</v>
      </c>
      <c r="P56" s="128">
        <f>G48*1000</f>
        <v>2.5547801000000003E-6</v>
      </c>
    </row>
    <row r="57" spans="2:30">
      <c r="B57" s="141" t="s">
        <v>159</v>
      </c>
      <c r="C57" s="140"/>
      <c r="D57" s="140"/>
      <c r="E57" s="139"/>
      <c r="F57" s="139"/>
      <c r="R57" s="121" t="s">
        <v>261</v>
      </c>
    </row>
    <row r="58" spans="2:30" ht="15.75" thickBot="1">
      <c r="I58" s="119" t="s">
        <v>221</v>
      </c>
      <c r="K58" s="119" t="s">
        <v>171</v>
      </c>
      <c r="L58" s="119" t="s">
        <v>250</v>
      </c>
      <c r="M58" s="119" t="s">
        <v>248</v>
      </c>
      <c r="N58" s="119" t="s">
        <v>246</v>
      </c>
      <c r="O58" s="119" t="s">
        <v>245</v>
      </c>
      <c r="P58" s="119" t="s">
        <v>243</v>
      </c>
    </row>
    <row r="59" spans="2:30">
      <c r="J59" s="119" t="s">
        <v>171</v>
      </c>
      <c r="K59" s="137">
        <f>B11*1000</f>
        <v>6.7623706999999991E-2</v>
      </c>
      <c r="L59" s="136">
        <f>C11*1000</f>
        <v>4.9232579000000005E-2</v>
      </c>
      <c r="M59" s="136">
        <f>K61</f>
        <v>4.9231991000000003E-2</v>
      </c>
      <c r="N59" s="136">
        <f>K62</f>
        <v>4.9403588999999998E-2</v>
      </c>
      <c r="O59" s="136">
        <f>K63</f>
        <v>4.9232579000000005E-2</v>
      </c>
      <c r="P59" s="135">
        <f>K64</f>
        <v>4.9231991000000003E-2</v>
      </c>
    </row>
    <row r="60" spans="2:30">
      <c r="J60" s="119" t="s">
        <v>250</v>
      </c>
      <c r="K60" s="134">
        <f>B14*1000</f>
        <v>4.9232579000000005E-2</v>
      </c>
      <c r="L60" s="133">
        <f>C14*1000</f>
        <v>6.7623706999999991E-2</v>
      </c>
      <c r="M60" s="133">
        <f>L61</f>
        <v>4.9232579000000005E-2</v>
      </c>
      <c r="N60" s="133">
        <f>L62</f>
        <v>4.9232579000000005E-2</v>
      </c>
      <c r="O60" s="133">
        <f>L63</f>
        <v>4.9403588999999998E-2</v>
      </c>
      <c r="P60" s="132">
        <f>L64</f>
        <v>4.9232579000000005E-2</v>
      </c>
      <c r="R60" s="121" t="s">
        <v>260</v>
      </c>
      <c r="S60" s="127">
        <f>AVERAGE(K59,L60,M61)-AVERAGE(K60,K61)</f>
        <v>1.8391421999999991E-2</v>
      </c>
      <c r="U60" s="121" t="s">
        <v>256</v>
      </c>
    </row>
    <row r="61" spans="2:30">
      <c r="J61" s="119" t="s">
        <v>248</v>
      </c>
      <c r="K61" s="134">
        <f>B17*1000</f>
        <v>4.9231991000000003E-2</v>
      </c>
      <c r="L61" s="133">
        <f>C17*1000</f>
        <v>4.9232579000000005E-2</v>
      </c>
      <c r="M61" s="133">
        <f>D17*1000</f>
        <v>6.7623706999999991E-2</v>
      </c>
      <c r="N61" s="133">
        <f>M62</f>
        <v>4.9231991000000003E-2</v>
      </c>
      <c r="O61" s="133">
        <f>M63</f>
        <v>4.9232579000000005E-2</v>
      </c>
      <c r="P61" s="132">
        <f>M64</f>
        <v>4.9403588999999998E-2</v>
      </c>
      <c r="R61" s="121" t="s">
        <v>259</v>
      </c>
      <c r="S61" s="127">
        <f>AVERAGE(K62,L63,M64)-AVERAGE(K63,K64)</f>
        <v>1.7130399999999713E-4</v>
      </c>
    </row>
    <row r="62" spans="2:30">
      <c r="J62" s="119" t="s">
        <v>246</v>
      </c>
      <c r="K62" s="134">
        <f>B20*1000</f>
        <v>4.9403588999999998E-2</v>
      </c>
      <c r="L62" s="133">
        <f>C20*1000</f>
        <v>4.9232579000000005E-2</v>
      </c>
      <c r="M62" s="133">
        <f>D20*1000</f>
        <v>4.9231991000000003E-2</v>
      </c>
      <c r="N62" s="133">
        <f>E20*1000</f>
        <v>6.2204128000000004E-2</v>
      </c>
      <c r="O62" s="133">
        <f>N63</f>
        <v>4.9232579000000005E-2</v>
      </c>
      <c r="P62" s="132">
        <f>N64</f>
        <v>4.9231991000000003E-2</v>
      </c>
      <c r="R62" s="121" t="s">
        <v>258</v>
      </c>
      <c r="S62" s="127">
        <f>AVERAGE(N62,O63,P64)-AVERAGE(N63,N64)</f>
        <v>1.2971843000000004E-2</v>
      </c>
    </row>
    <row r="63" spans="2:30">
      <c r="J63" s="119" t="s">
        <v>245</v>
      </c>
      <c r="K63" s="134">
        <f>B23*1000</f>
        <v>4.9232579000000005E-2</v>
      </c>
      <c r="L63" s="133">
        <f>C23*1000</f>
        <v>4.9403588999999998E-2</v>
      </c>
      <c r="M63" s="133">
        <f>D23*1000</f>
        <v>4.9232579000000005E-2</v>
      </c>
      <c r="N63" s="133">
        <f>E23*1000</f>
        <v>4.9232579000000005E-2</v>
      </c>
      <c r="O63" s="133">
        <f>F23*1000</f>
        <v>6.2204128000000004E-2</v>
      </c>
      <c r="P63" s="132">
        <f>O64</f>
        <v>4.9232579000000005E-2</v>
      </c>
    </row>
    <row r="64" spans="2:30" ht="15.75" thickBot="1">
      <c r="J64" s="119" t="s">
        <v>243</v>
      </c>
      <c r="K64" s="130">
        <f t="shared" ref="K64:P64" si="1">B26*1000</f>
        <v>4.9231991000000003E-2</v>
      </c>
      <c r="L64" s="129">
        <f t="shared" si="1"/>
        <v>4.9232579000000005E-2</v>
      </c>
      <c r="M64" s="129">
        <f t="shared" si="1"/>
        <v>4.9403588999999998E-2</v>
      </c>
      <c r="N64" s="129">
        <f t="shared" si="1"/>
        <v>4.9231991000000003E-2</v>
      </c>
      <c r="O64" s="129">
        <f t="shared" si="1"/>
        <v>4.9232579000000005E-2</v>
      </c>
      <c r="P64" s="128">
        <f t="shared" si="1"/>
        <v>6.2204128000000004E-2</v>
      </c>
      <c r="R64" s="119" t="s">
        <v>257</v>
      </c>
      <c r="S64" s="127">
        <f>AVERAGE(K68,L69,M70)-AVERAGE(K69,K70)</f>
        <v>0.2800936049999998</v>
      </c>
      <c r="U64" s="121" t="s">
        <v>256</v>
      </c>
    </row>
    <row r="65" spans="2:30">
      <c r="R65" s="119" t="s">
        <v>255</v>
      </c>
      <c r="S65" s="127">
        <f>AVERAGE(K71,L72,M73)-AVERAGE(K72,K73)</f>
        <v>0.22016884500000011</v>
      </c>
    </row>
    <row r="66" spans="2:30">
      <c r="R66" s="119" t="s">
        <v>254</v>
      </c>
      <c r="S66" s="127">
        <f>AVERAGE(N71,O72,P73)-AVERAGE(N72,N73)</f>
        <v>0.21894254499999988</v>
      </c>
      <c r="Y66" s="138" t="s">
        <v>253</v>
      </c>
      <c r="Z66" s="138"/>
    </row>
    <row r="67" spans="2:30" ht="15.75" thickBot="1">
      <c r="I67" s="119" t="s">
        <v>225</v>
      </c>
      <c r="K67" s="119" t="s">
        <v>171</v>
      </c>
      <c r="L67" s="119" t="s">
        <v>250</v>
      </c>
      <c r="M67" s="119" t="s">
        <v>248</v>
      </c>
      <c r="N67" s="119" t="s">
        <v>246</v>
      </c>
      <c r="O67" s="119" t="s">
        <v>245</v>
      </c>
      <c r="P67" s="119" t="s">
        <v>243</v>
      </c>
      <c r="Y67" s="119" t="s">
        <v>252</v>
      </c>
    </row>
    <row r="68" spans="2:30">
      <c r="J68" s="119" t="s">
        <v>171</v>
      </c>
      <c r="K68" s="137">
        <f t="shared" ref="K68:P73" si="2">K43*2*PI()*$L$41</f>
        <v>0.68802301999999993</v>
      </c>
      <c r="L68" s="136">
        <f t="shared" si="2"/>
        <v>0.4297052400000001</v>
      </c>
      <c r="M68" s="136">
        <f t="shared" si="2"/>
        <v>0.38615358999999999</v>
      </c>
      <c r="N68" s="136">
        <f t="shared" si="2"/>
        <v>0.62809826000000013</v>
      </c>
      <c r="O68" s="136">
        <f t="shared" si="2"/>
        <v>0.4297052400000001</v>
      </c>
      <c r="P68" s="135">
        <f t="shared" si="2"/>
        <v>0.38615358999999999</v>
      </c>
      <c r="R68" s="119" t="s">
        <v>251</v>
      </c>
      <c r="S68" s="127" t="str">
        <f>COMPLEX(S60,S64)</f>
        <v>0.018391422+0.280093605i</v>
      </c>
    </row>
    <row r="69" spans="2:30">
      <c r="J69" s="119" t="s">
        <v>250</v>
      </c>
      <c r="K69" s="134">
        <f t="shared" si="2"/>
        <v>0.4297052400000001</v>
      </c>
      <c r="L69" s="133">
        <f t="shared" si="2"/>
        <v>0.68802301999999993</v>
      </c>
      <c r="M69" s="133">
        <f t="shared" si="2"/>
        <v>0.4297052400000001</v>
      </c>
      <c r="N69" s="133">
        <f t="shared" si="2"/>
        <v>0.4297052400000001</v>
      </c>
      <c r="O69" s="133">
        <f t="shared" si="2"/>
        <v>0.62809826000000013</v>
      </c>
      <c r="P69" s="132">
        <f t="shared" si="2"/>
        <v>0.4297052400000001</v>
      </c>
      <c r="R69" s="119" t="s">
        <v>249</v>
      </c>
      <c r="S69" s="127" t="str">
        <f>COMPLEX(S61,S65)</f>
        <v>0.000171303999999997+0.220168845i</v>
      </c>
      <c r="Y69" s="121"/>
      <c r="Z69" s="194" t="s">
        <v>296</v>
      </c>
    </row>
    <row r="70" spans="2:30">
      <c r="B70" s="122"/>
      <c r="C70" s="122"/>
      <c r="D70" s="122"/>
      <c r="F70" s="122"/>
      <c r="G70" s="122"/>
      <c r="H70" s="122"/>
      <c r="J70" s="119" t="s">
        <v>248</v>
      </c>
      <c r="K70" s="134">
        <f t="shared" si="2"/>
        <v>0.38615358999999999</v>
      </c>
      <c r="L70" s="133">
        <f t="shared" si="2"/>
        <v>0.4297052400000001</v>
      </c>
      <c r="M70" s="133">
        <f t="shared" si="2"/>
        <v>0.68802301999999993</v>
      </c>
      <c r="N70" s="133">
        <f t="shared" si="2"/>
        <v>0.38615358999999999</v>
      </c>
      <c r="O70" s="133">
        <f t="shared" si="2"/>
        <v>0.4297052400000001</v>
      </c>
      <c r="P70" s="132">
        <f t="shared" si="2"/>
        <v>0.62809826000000013</v>
      </c>
      <c r="R70" s="119" t="s">
        <v>247</v>
      </c>
      <c r="S70" s="127" t="str">
        <f>COMPLEX(S62,S66)</f>
        <v>0.012971843+0.218942545i</v>
      </c>
    </row>
    <row r="71" spans="2:30">
      <c r="B71" s="122"/>
      <c r="C71" s="122"/>
      <c r="D71" s="122"/>
      <c r="F71" s="122"/>
      <c r="G71" s="122"/>
      <c r="H71" s="122"/>
      <c r="J71" s="119" t="s">
        <v>246</v>
      </c>
      <c r="K71" s="134">
        <f t="shared" si="2"/>
        <v>0.62809826000000013</v>
      </c>
      <c r="L71" s="133">
        <f t="shared" si="2"/>
        <v>0.4297052400000001</v>
      </c>
      <c r="M71" s="133">
        <f t="shared" si="2"/>
        <v>0.38615358999999999</v>
      </c>
      <c r="N71" s="133">
        <f t="shared" si="2"/>
        <v>0.62687195999999989</v>
      </c>
      <c r="O71" s="133">
        <f t="shared" si="2"/>
        <v>0.4297052400000001</v>
      </c>
      <c r="P71" s="132">
        <f t="shared" si="2"/>
        <v>0.38615358999999999</v>
      </c>
      <c r="Z71" s="193" t="s">
        <v>295</v>
      </c>
      <c r="AA71" s="126" t="s">
        <v>241</v>
      </c>
      <c r="AB71" s="125">
        <f>IMREAL(IMSUB(S68,IMDIV(IMPRODUCT(S69,S69),S70)))</f>
        <v>3.1119767779369499E-2</v>
      </c>
      <c r="AC71" s="124" t="s">
        <v>240</v>
      </c>
      <c r="AD71" s="123">
        <f>IMAGINARY(IMSUB(S68,IMDIV(IMPRODUCT(S69,S69),S70)))</f>
        <v>5.9445850766239997E-2</v>
      </c>
    </row>
    <row r="72" spans="2:30">
      <c r="B72" s="122"/>
      <c r="C72" s="122"/>
      <c r="D72" s="122"/>
      <c r="F72" s="122"/>
      <c r="G72" s="122"/>
      <c r="H72" s="122"/>
      <c r="J72" s="119" t="s">
        <v>245</v>
      </c>
      <c r="K72" s="134">
        <f t="shared" si="2"/>
        <v>0.4297052400000001</v>
      </c>
      <c r="L72" s="133">
        <f t="shared" si="2"/>
        <v>0.62809826000000013</v>
      </c>
      <c r="M72" s="133">
        <f t="shared" si="2"/>
        <v>0.4297052400000001</v>
      </c>
      <c r="N72" s="133">
        <f t="shared" si="2"/>
        <v>0.4297052400000001</v>
      </c>
      <c r="O72" s="133">
        <f t="shared" si="2"/>
        <v>0.62687195999999989</v>
      </c>
      <c r="P72" s="132">
        <f t="shared" si="2"/>
        <v>0.4297052400000001</v>
      </c>
      <c r="R72" s="131" t="s">
        <v>244</v>
      </c>
      <c r="AA72" s="126" t="s">
        <v>241</v>
      </c>
      <c r="AB72" s="125">
        <f>S60</f>
        <v>1.8391421999999991E-2</v>
      </c>
      <c r="AC72" s="124" t="s">
        <v>240</v>
      </c>
      <c r="AD72" s="123">
        <f>S64</f>
        <v>0.2800936049999998</v>
      </c>
    </row>
    <row r="73" spans="2:30" ht="15.75" thickBot="1">
      <c r="B73" s="122"/>
      <c r="C73" s="122"/>
      <c r="D73" s="122"/>
      <c r="F73" s="122"/>
      <c r="G73" s="122"/>
      <c r="H73" s="122"/>
      <c r="J73" s="119" t="s">
        <v>243</v>
      </c>
      <c r="K73" s="130">
        <f t="shared" si="2"/>
        <v>0.38615358999999999</v>
      </c>
      <c r="L73" s="129">
        <f t="shared" si="2"/>
        <v>0.4297052400000001</v>
      </c>
      <c r="M73" s="129">
        <f t="shared" si="2"/>
        <v>0.62809826000000013</v>
      </c>
      <c r="N73" s="129">
        <f t="shared" si="2"/>
        <v>0.38615358999999999</v>
      </c>
      <c r="O73" s="129">
        <f t="shared" si="2"/>
        <v>0.4297052400000001</v>
      </c>
      <c r="P73" s="128">
        <f t="shared" si="2"/>
        <v>0.62687195999999989</v>
      </c>
      <c r="R73" s="121" t="s">
        <v>242</v>
      </c>
      <c r="S73" s="127"/>
    </row>
    <row r="74" spans="2:30">
      <c r="B74" s="122"/>
      <c r="C74" s="122"/>
      <c r="D74" s="122"/>
      <c r="F74" s="122"/>
      <c r="G74" s="122"/>
      <c r="H74" s="122"/>
    </row>
    <row r="75" spans="2:30">
      <c r="B75" s="122"/>
      <c r="C75" s="122"/>
      <c r="D75" s="122"/>
      <c r="F75" s="122"/>
      <c r="G75" s="122"/>
      <c r="H75" s="122"/>
      <c r="I75" s="193" t="s">
        <v>294</v>
      </c>
      <c r="R75" s="119" t="s">
        <v>239</v>
      </c>
    </row>
    <row r="76" spans="2:30" ht="15.75" thickBot="1">
      <c r="F76" s="122"/>
      <c r="G76" s="122"/>
      <c r="H76" s="122"/>
      <c r="K76" s="119" t="s">
        <v>171</v>
      </c>
      <c r="L76" s="119" t="s">
        <v>250</v>
      </c>
      <c r="M76" s="119" t="s">
        <v>248</v>
      </c>
      <c r="N76" s="119" t="s">
        <v>246</v>
      </c>
      <c r="O76" s="119" t="s">
        <v>245</v>
      </c>
      <c r="P76" s="119" t="s">
        <v>243</v>
      </c>
      <c r="R76" s="119" t="s">
        <v>238</v>
      </c>
    </row>
    <row r="77" spans="2:30">
      <c r="J77" s="119" t="s">
        <v>171</v>
      </c>
      <c r="K77" s="137">
        <f>(K68+L69+M70)/3</f>
        <v>0.68802301999999982</v>
      </c>
      <c r="L77" s="136">
        <f>K78</f>
        <v>0.41518802333333338</v>
      </c>
      <c r="M77" s="136">
        <f>K78</f>
        <v>0.41518802333333338</v>
      </c>
      <c r="N77" s="136">
        <f>(N68+O69+P70)/3</f>
        <v>0.62809826000000013</v>
      </c>
      <c r="O77" s="136">
        <f>N78</f>
        <v>0.41518802333333338</v>
      </c>
      <c r="P77" s="135">
        <f>N78</f>
        <v>0.41518802333333338</v>
      </c>
      <c r="R77" s="119" t="s">
        <v>237</v>
      </c>
    </row>
    <row r="78" spans="2:30">
      <c r="J78" s="119" t="s">
        <v>250</v>
      </c>
      <c r="K78" s="134">
        <f>(K69+K70+L68+L70+M68+M69)/6</f>
        <v>0.41518802333333338</v>
      </c>
      <c r="L78" s="133">
        <f>K77</f>
        <v>0.68802301999999982</v>
      </c>
      <c r="M78" s="133">
        <f>K78</f>
        <v>0.41518802333333338</v>
      </c>
      <c r="N78" s="133">
        <f>(N69+N70+O68+O70+P68+P69)/6</f>
        <v>0.41518802333333338</v>
      </c>
      <c r="O78" s="133">
        <f>N77</f>
        <v>0.62809826000000013</v>
      </c>
      <c r="P78" s="132">
        <f>N78</f>
        <v>0.41518802333333338</v>
      </c>
      <c r="R78" s="119" t="s">
        <v>236</v>
      </c>
      <c r="AC78" s="121"/>
    </row>
    <row r="79" spans="2:30">
      <c r="J79" s="119" t="s">
        <v>248</v>
      </c>
      <c r="K79" s="134">
        <f>K78</f>
        <v>0.41518802333333338</v>
      </c>
      <c r="L79" s="133">
        <f>K78</f>
        <v>0.41518802333333338</v>
      </c>
      <c r="M79" s="133">
        <f>K77</f>
        <v>0.68802301999999982</v>
      </c>
      <c r="N79" s="133">
        <f>N78</f>
        <v>0.41518802333333338</v>
      </c>
      <c r="O79" s="133">
        <f>N78</f>
        <v>0.41518802333333338</v>
      </c>
      <c r="P79" s="132">
        <f>N77</f>
        <v>0.62809826000000013</v>
      </c>
      <c r="R79" s="119" t="s">
        <v>235</v>
      </c>
    </row>
    <row r="80" spans="2:30">
      <c r="J80" s="119" t="s">
        <v>246</v>
      </c>
      <c r="K80" s="134">
        <f>(K71+L72+M73)/3</f>
        <v>0.62809826000000013</v>
      </c>
      <c r="L80" s="133">
        <f>K81</f>
        <v>0.41518802333333338</v>
      </c>
      <c r="M80" s="133">
        <f>K81</f>
        <v>0.41518802333333338</v>
      </c>
      <c r="N80" s="133">
        <f>(N71+O72+P73)/3</f>
        <v>0.62687195999999989</v>
      </c>
      <c r="O80" s="133">
        <f>N81</f>
        <v>0.41518802333333338</v>
      </c>
      <c r="P80" s="132">
        <f>N81</f>
        <v>0.41518802333333338</v>
      </c>
      <c r="R80" s="119" t="s">
        <v>234</v>
      </c>
    </row>
    <row r="81" spans="10:19">
      <c r="J81" s="119" t="s">
        <v>245</v>
      </c>
      <c r="K81" s="134">
        <f>(K72+K73+L71+L73+M71+M72)/6</f>
        <v>0.41518802333333338</v>
      </c>
      <c r="L81" s="133">
        <f>K80</f>
        <v>0.62809826000000013</v>
      </c>
      <c r="M81" s="133">
        <f>K81</f>
        <v>0.41518802333333338</v>
      </c>
      <c r="N81" s="133">
        <f>(N72+N73+O71+O73+P71+P72)/6</f>
        <v>0.41518802333333338</v>
      </c>
      <c r="O81" s="133">
        <f>N80</f>
        <v>0.62687195999999989</v>
      </c>
      <c r="P81" s="132">
        <f>N81</f>
        <v>0.41518802333333338</v>
      </c>
      <c r="R81" s="119" t="s">
        <v>233</v>
      </c>
    </row>
    <row r="82" spans="10:19" ht="15.75" thickBot="1">
      <c r="J82" s="119" t="s">
        <v>243</v>
      </c>
      <c r="K82" s="130">
        <f>K81</f>
        <v>0.41518802333333338</v>
      </c>
      <c r="L82" s="129">
        <f>K81</f>
        <v>0.41518802333333338</v>
      </c>
      <c r="M82" s="129">
        <f>K80</f>
        <v>0.62809826000000013</v>
      </c>
      <c r="N82" s="129">
        <f>N81</f>
        <v>0.41518802333333338</v>
      </c>
      <c r="O82" s="129">
        <f>N81</f>
        <v>0.41518802333333338</v>
      </c>
      <c r="P82" s="128">
        <f>N80</f>
        <v>0.62687195999999989</v>
      </c>
      <c r="R82" s="119" t="s">
        <v>232</v>
      </c>
    </row>
    <row r="83" spans="10:19">
      <c r="R83" s="119" t="s">
        <v>231</v>
      </c>
    </row>
    <row r="84" spans="10:19">
      <c r="R84" s="119" t="s">
        <v>230</v>
      </c>
    </row>
    <row r="85" spans="10:19">
      <c r="R85" s="119" t="s">
        <v>229</v>
      </c>
    </row>
    <row r="86" spans="10:19">
      <c r="R86" s="120" t="s">
        <v>228</v>
      </c>
      <c r="S86" s="120"/>
    </row>
    <row r="87" spans="10:19">
      <c r="R87" s="119" t="s">
        <v>227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88"/>
  <sheetViews>
    <sheetView tabSelected="1" topLeftCell="A25" workbookViewId="0">
      <selection activeCell="B54" sqref="B54"/>
    </sheetView>
  </sheetViews>
  <sheetFormatPr baseColWidth="10" defaultColWidth="11" defaultRowHeight="15"/>
  <cols>
    <col min="1" max="1" width="12.140625" customWidth="1"/>
    <col min="2" max="2" width="14.42578125" customWidth="1"/>
    <col min="3" max="7" width="14" customWidth="1"/>
    <col min="9" max="9" width="13.140625" customWidth="1"/>
    <col min="10" max="10" width="13.28515625" customWidth="1"/>
    <col min="11" max="11" width="10.28515625" customWidth="1"/>
    <col min="12" max="12" width="12.5703125" customWidth="1"/>
    <col min="13" max="13" width="14.85546875" customWidth="1"/>
    <col min="14" max="14" width="13" customWidth="1"/>
    <col min="15" max="15" width="15.5703125" customWidth="1"/>
    <col min="16" max="16" width="14.7109375" customWidth="1"/>
    <col min="17" max="17" width="14.42578125" customWidth="1"/>
    <col min="18" max="18" width="12.28515625" customWidth="1"/>
    <col min="19" max="19" width="16.140625" customWidth="1"/>
    <col min="20" max="20" width="12.28515625" customWidth="1"/>
    <col min="21" max="21" width="13.42578125" customWidth="1"/>
    <col min="22" max="22" width="12.28515625" customWidth="1"/>
    <col min="23" max="23" width="13.42578125" customWidth="1"/>
    <col min="24" max="24" width="12.28515625" customWidth="1"/>
    <col min="25" max="25" width="13" customWidth="1"/>
    <col min="26" max="26" width="15.28515625" customWidth="1"/>
    <col min="28" max="28" width="15.140625" customWidth="1"/>
    <col min="30" max="30" width="12.28515625" bestFit="1" customWidth="1"/>
    <col min="32" max="32" width="16.85546875" customWidth="1"/>
    <col min="33" max="33" width="14.140625" customWidth="1"/>
    <col min="34" max="34" width="15.85546875" customWidth="1"/>
    <col min="35" max="35" width="14.5703125" customWidth="1"/>
    <col min="36" max="36" width="15.7109375" customWidth="1"/>
    <col min="37" max="37" width="14" customWidth="1"/>
    <col min="38" max="38" width="13.85546875" customWidth="1"/>
    <col min="40" max="40" width="15.28515625" customWidth="1"/>
    <col min="42" max="42" width="14.85546875" customWidth="1"/>
  </cols>
  <sheetData>
    <row r="1" spans="1:38">
      <c r="A1" s="1"/>
      <c r="B1" s="1" t="s">
        <v>157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9"/>
      <c r="AA1" s="29"/>
    </row>
    <row r="2" spans="1:38">
      <c r="A2" s="1"/>
      <c r="B2" s="1" t="s">
        <v>49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29"/>
      <c r="AA2" s="29"/>
    </row>
    <row r="3" spans="1:3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9"/>
      <c r="AA3" s="29"/>
    </row>
    <row r="4" spans="1:38">
      <c r="A4" s="1"/>
      <c r="B4" s="1" t="s">
        <v>50</v>
      </c>
      <c r="C4" s="1"/>
      <c r="D4" s="1"/>
      <c r="E4" s="1"/>
      <c r="F4" s="1"/>
      <c r="G4" s="1"/>
      <c r="H4" s="1"/>
      <c r="I4" s="1"/>
      <c r="J4" s="1"/>
      <c r="K4" s="1"/>
      <c r="L4" s="1" t="s">
        <v>51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29"/>
      <c r="AA4" s="29"/>
    </row>
    <row r="5" spans="1:3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29"/>
      <c r="AA5" s="29"/>
    </row>
    <row r="6" spans="1:38">
      <c r="A6" s="1"/>
      <c r="B6" s="1" t="s">
        <v>0</v>
      </c>
      <c r="C6" s="1"/>
      <c r="D6" s="1"/>
      <c r="E6" s="1"/>
      <c r="F6" s="1"/>
      <c r="G6" s="1"/>
      <c r="H6" s="24"/>
      <c r="I6" s="1"/>
      <c r="J6" s="1"/>
      <c r="K6" s="1"/>
      <c r="L6" s="99" t="s">
        <v>75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18" t="s">
        <v>226</v>
      </c>
      <c r="AA6" s="29"/>
    </row>
    <row r="7" spans="1:38" ht="15.75" thickBot="1">
      <c r="A7" s="1"/>
      <c r="B7" s="1"/>
      <c r="C7" s="1"/>
      <c r="D7" s="1"/>
      <c r="E7" s="1"/>
      <c r="F7" s="1"/>
      <c r="G7" s="1"/>
      <c r="H7" s="2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AA7" s="29"/>
    </row>
    <row r="8" spans="1:38">
      <c r="A8" s="25">
        <v>1</v>
      </c>
      <c r="B8" s="2">
        <v>1.082266E-8</v>
      </c>
      <c r="C8" s="2"/>
      <c r="D8" s="2"/>
      <c r="E8" s="2"/>
      <c r="F8" s="2"/>
      <c r="G8" s="2"/>
      <c r="H8" s="94"/>
      <c r="I8" s="1"/>
      <c r="J8" s="1"/>
      <c r="K8" s="1"/>
      <c r="L8" s="31" t="s">
        <v>1</v>
      </c>
      <c r="M8" s="20" t="s">
        <v>52</v>
      </c>
      <c r="N8" s="13">
        <f>0.015</f>
        <v>1.4999999999999999E-2</v>
      </c>
      <c r="O8" s="32" t="s">
        <v>53</v>
      </c>
      <c r="P8" s="32">
        <f>N8</f>
        <v>1.4999999999999999E-2</v>
      </c>
      <c r="Q8" s="32" t="s">
        <v>54</v>
      </c>
      <c r="R8" s="32">
        <f>N8</f>
        <v>1.4999999999999999E-2</v>
      </c>
      <c r="S8" s="32" t="s">
        <v>76</v>
      </c>
      <c r="T8" s="32">
        <f>N8</f>
        <v>1.4999999999999999E-2</v>
      </c>
      <c r="U8" s="32" t="s">
        <v>77</v>
      </c>
      <c r="V8" s="32">
        <f>N8</f>
        <v>1.4999999999999999E-2</v>
      </c>
      <c r="W8" s="32" t="s">
        <v>78</v>
      </c>
      <c r="X8" s="55">
        <f>N8</f>
        <v>1.4999999999999999E-2</v>
      </c>
      <c r="Y8" s="1"/>
      <c r="Z8" s="31"/>
      <c r="AA8" s="20"/>
      <c r="AB8" s="13"/>
      <c r="AC8" s="32"/>
      <c r="AD8" s="32"/>
      <c r="AE8" s="32"/>
      <c r="AF8" s="32"/>
      <c r="AG8" s="32"/>
      <c r="AH8" s="32"/>
      <c r="AI8" s="32"/>
      <c r="AJ8" s="32"/>
      <c r="AK8" s="32"/>
      <c r="AL8" s="55"/>
    </row>
    <row r="9" spans="1:38">
      <c r="A9" s="26"/>
      <c r="B9" s="3"/>
      <c r="C9" s="3"/>
      <c r="D9" s="3"/>
      <c r="E9" s="3"/>
      <c r="F9" s="3"/>
      <c r="G9" s="3"/>
      <c r="H9" s="95"/>
      <c r="I9" s="1"/>
      <c r="J9" s="1"/>
      <c r="K9" s="1"/>
      <c r="L9" s="33" t="s">
        <v>1</v>
      </c>
      <c r="M9" s="15" t="s">
        <v>2</v>
      </c>
      <c r="N9" s="34">
        <f>B34</f>
        <v>0.47015770000000001</v>
      </c>
      <c r="O9" s="34"/>
      <c r="P9" s="34"/>
      <c r="Q9" s="34"/>
      <c r="R9" s="34"/>
      <c r="S9" s="34"/>
      <c r="T9" s="34"/>
      <c r="U9" s="34"/>
      <c r="V9" s="34"/>
      <c r="W9" s="34"/>
      <c r="X9" s="56"/>
      <c r="Y9" s="1"/>
      <c r="Z9" s="33" t="s">
        <v>1</v>
      </c>
      <c r="AA9" s="15" t="s">
        <v>2</v>
      </c>
      <c r="AB9" s="34">
        <f>AF45</f>
        <v>0.48186007367645894</v>
      </c>
      <c r="AC9" s="34"/>
      <c r="AD9" s="34"/>
      <c r="AE9" s="34"/>
      <c r="AF9" s="34"/>
      <c r="AG9" s="34"/>
      <c r="AH9" s="34"/>
      <c r="AI9" s="34"/>
      <c r="AJ9" s="34"/>
      <c r="AK9" s="34"/>
      <c r="AL9" s="56"/>
    </row>
    <row r="10" spans="1:38">
      <c r="A10" s="26">
        <v>2</v>
      </c>
      <c r="B10" s="3">
        <v>-1.8997510000000001E-9</v>
      </c>
      <c r="C10" s="3">
        <v>1.1708709999999999E-8</v>
      </c>
      <c r="D10" s="3"/>
      <c r="E10" s="3"/>
      <c r="F10" s="3"/>
      <c r="G10" s="3"/>
      <c r="H10" s="95"/>
      <c r="I10" s="1"/>
      <c r="J10" s="1"/>
      <c r="K10" s="1"/>
      <c r="L10" s="33" t="s">
        <v>1</v>
      </c>
      <c r="M10" s="15" t="s">
        <v>3</v>
      </c>
      <c r="N10" s="34">
        <f>B37</f>
        <v>0.20539370000000001</v>
      </c>
      <c r="O10" s="16" t="s">
        <v>9</v>
      </c>
      <c r="P10" s="34">
        <f>C37</f>
        <v>0.48898330000000001</v>
      </c>
      <c r="Q10" s="34"/>
      <c r="R10" s="34"/>
      <c r="S10" s="34"/>
      <c r="T10" s="34"/>
      <c r="U10" s="34"/>
      <c r="V10" s="34"/>
      <c r="W10" s="34"/>
      <c r="X10" s="56"/>
      <c r="Y10" s="1"/>
      <c r="Z10" s="33" t="s">
        <v>1</v>
      </c>
      <c r="AA10" s="15" t="s">
        <v>3</v>
      </c>
      <c r="AB10" s="34">
        <f>AF46</f>
        <v>0.22111025343050794</v>
      </c>
      <c r="AC10" s="16" t="s">
        <v>9</v>
      </c>
      <c r="AD10" s="34">
        <f>AB9</f>
        <v>0.48186007367645894</v>
      </c>
      <c r="AE10" s="34"/>
      <c r="AF10" s="34"/>
      <c r="AG10" s="34"/>
      <c r="AH10" s="34"/>
      <c r="AI10" s="34"/>
      <c r="AJ10" s="34"/>
      <c r="AK10" s="34"/>
      <c r="AL10" s="56"/>
    </row>
    <row r="11" spans="1:38">
      <c r="A11" s="26"/>
      <c r="B11" s="3"/>
      <c r="C11" s="3"/>
      <c r="D11" s="3"/>
      <c r="E11" s="3"/>
      <c r="F11" s="3"/>
      <c r="G11" s="3"/>
      <c r="H11" s="95"/>
      <c r="I11" s="1"/>
      <c r="J11" s="1"/>
      <c r="K11" s="1"/>
      <c r="L11" s="33" t="s">
        <v>1</v>
      </c>
      <c r="M11" s="15" t="s">
        <v>4</v>
      </c>
      <c r="N11" s="34">
        <f>B40</f>
        <v>0.20397199999999999</v>
      </c>
      <c r="O11" s="16" t="s">
        <v>10</v>
      </c>
      <c r="P11" s="34">
        <f>C40</f>
        <v>0.25396449999999998</v>
      </c>
      <c r="Q11" s="16" t="s">
        <v>16</v>
      </c>
      <c r="R11" s="34">
        <f>D40</f>
        <v>0.48643799999999998</v>
      </c>
      <c r="S11" s="34"/>
      <c r="T11" s="34"/>
      <c r="U11" s="34"/>
      <c r="V11" s="34"/>
      <c r="W11" s="34"/>
      <c r="X11" s="56"/>
      <c r="Y11" s="1"/>
      <c r="Z11" s="33" t="s">
        <v>1</v>
      </c>
      <c r="AA11" s="15" t="s">
        <v>4</v>
      </c>
      <c r="AB11" s="34">
        <f>AB10</f>
        <v>0.22111025343050794</v>
      </c>
      <c r="AC11" s="16" t="s">
        <v>10</v>
      </c>
      <c r="AD11" s="34">
        <f>AB11</f>
        <v>0.22111025343050794</v>
      </c>
      <c r="AE11" s="16" t="s">
        <v>16</v>
      </c>
      <c r="AF11" s="34">
        <f>AB9</f>
        <v>0.48186007367645894</v>
      </c>
      <c r="AG11" s="34"/>
      <c r="AH11" s="34"/>
      <c r="AI11" s="34"/>
      <c r="AJ11" s="34"/>
      <c r="AK11" s="34"/>
      <c r="AL11" s="56"/>
    </row>
    <row r="12" spans="1:38">
      <c r="A12" s="26">
        <v>3</v>
      </c>
      <c r="B12" s="3">
        <v>-1.6985759999999999E-9</v>
      </c>
      <c r="C12" s="3">
        <v>-3.408687E-9</v>
      </c>
      <c r="D12" s="3">
        <v>1.208271E-8</v>
      </c>
      <c r="E12" s="3"/>
      <c r="F12" s="3"/>
      <c r="G12" s="3"/>
      <c r="H12" s="95"/>
      <c r="I12" s="1"/>
      <c r="J12" s="1"/>
      <c r="K12" s="1"/>
      <c r="L12" s="33" t="s">
        <v>1</v>
      </c>
      <c r="M12" s="15" t="s">
        <v>5</v>
      </c>
      <c r="N12" s="34">
        <f>B43</f>
        <v>0.16735169999999999</v>
      </c>
      <c r="O12" s="16" t="s">
        <v>11</v>
      </c>
      <c r="P12" s="34">
        <f>C43</f>
        <v>0.15995860000000001</v>
      </c>
      <c r="Q12" s="16" t="s">
        <v>17</v>
      </c>
      <c r="R12" s="34">
        <f>D43</f>
        <v>0.17365050000000001</v>
      </c>
      <c r="S12" s="16" t="s">
        <v>23</v>
      </c>
      <c r="T12" s="34">
        <f>E43</f>
        <v>0.47015770000000001</v>
      </c>
      <c r="U12" s="34"/>
      <c r="V12" s="34"/>
      <c r="W12" s="34"/>
      <c r="X12" s="56"/>
      <c r="Y12" s="1"/>
      <c r="Z12" s="33" t="s">
        <v>1</v>
      </c>
      <c r="AA12" s="15" t="s">
        <v>5</v>
      </c>
      <c r="AB12" s="34">
        <f>AF48</f>
        <v>0.17286121267628671</v>
      </c>
      <c r="AC12" s="16" t="s">
        <v>11</v>
      </c>
      <c r="AD12" s="34">
        <f>AB12</f>
        <v>0.17286121267628671</v>
      </c>
      <c r="AE12" s="16" t="s">
        <v>17</v>
      </c>
      <c r="AF12" s="34">
        <f>AD12</f>
        <v>0.17286121267628671</v>
      </c>
      <c r="AG12" s="16" t="s">
        <v>23</v>
      </c>
      <c r="AH12" s="34">
        <f>AI48</f>
        <v>0.48186007367645894</v>
      </c>
      <c r="AI12" s="34"/>
      <c r="AJ12" s="34"/>
      <c r="AK12" s="34"/>
      <c r="AL12" s="56"/>
    </row>
    <row r="13" spans="1:38">
      <c r="A13" s="26"/>
      <c r="B13" s="3"/>
      <c r="C13" s="3"/>
      <c r="D13" s="3"/>
      <c r="E13" s="3"/>
      <c r="F13" s="3"/>
      <c r="G13" s="3"/>
      <c r="H13" s="95"/>
      <c r="I13" s="1"/>
      <c r="J13" s="1"/>
      <c r="K13" s="1"/>
      <c r="L13" s="33" t="s">
        <v>1</v>
      </c>
      <c r="M13" s="15" t="s">
        <v>6</v>
      </c>
      <c r="N13" s="34">
        <f>B46</f>
        <v>0.15995860000000001</v>
      </c>
      <c r="O13" s="16" t="s">
        <v>12</v>
      </c>
      <c r="P13" s="34">
        <f>C46</f>
        <v>0.168184</v>
      </c>
      <c r="Q13" s="16" t="s">
        <v>18</v>
      </c>
      <c r="R13" s="34">
        <f>D46</f>
        <v>0.1849741</v>
      </c>
      <c r="S13" s="16" t="s">
        <v>24</v>
      </c>
      <c r="T13" s="34">
        <f>E46</f>
        <v>0.20539370000000001</v>
      </c>
      <c r="U13" s="34" t="s">
        <v>30</v>
      </c>
      <c r="V13" s="34">
        <f>F46</f>
        <v>0.48898330000000001</v>
      </c>
      <c r="W13" s="34"/>
      <c r="X13" s="56"/>
      <c r="Y13" s="1"/>
      <c r="Z13" s="33" t="s">
        <v>1</v>
      </c>
      <c r="AA13" s="15" t="s">
        <v>6</v>
      </c>
      <c r="AB13" s="34">
        <f>AB12</f>
        <v>0.17286121267628671</v>
      </c>
      <c r="AC13" s="16" t="s">
        <v>12</v>
      </c>
      <c r="AD13" s="34">
        <f>AB12</f>
        <v>0.17286121267628671</v>
      </c>
      <c r="AE13" s="16" t="s">
        <v>18</v>
      </c>
      <c r="AF13" s="34">
        <f>AB12</f>
        <v>0.17286121267628671</v>
      </c>
      <c r="AG13" s="16" t="s">
        <v>24</v>
      </c>
      <c r="AH13" s="34">
        <f>AI49</f>
        <v>0.22111025343050794</v>
      </c>
      <c r="AI13" s="34" t="s">
        <v>30</v>
      </c>
      <c r="AJ13" s="34">
        <f>AH12</f>
        <v>0.48186007367645894</v>
      </c>
      <c r="AK13" s="34"/>
      <c r="AL13" s="56"/>
    </row>
    <row r="14" spans="1:38">
      <c r="A14" s="26">
        <v>4</v>
      </c>
      <c r="B14" s="96">
        <v>-1.238033E-9</v>
      </c>
      <c r="C14" s="96">
        <v>-4.5771940000000001E-10</v>
      </c>
      <c r="D14" s="96">
        <v>-7.7600820000000004E-10</v>
      </c>
      <c r="E14" s="3">
        <v>1.082266E-8</v>
      </c>
      <c r="F14" s="3"/>
      <c r="G14" s="3"/>
      <c r="H14" s="95"/>
      <c r="I14" s="1"/>
      <c r="J14" s="1"/>
      <c r="K14" s="1"/>
      <c r="L14" s="33" t="s">
        <v>1</v>
      </c>
      <c r="M14" s="15" t="s">
        <v>7</v>
      </c>
      <c r="N14" s="34">
        <f>B49</f>
        <v>0.17365050000000001</v>
      </c>
      <c r="O14" s="16" t="s">
        <v>13</v>
      </c>
      <c r="P14" s="34">
        <f>C49</f>
        <v>0.1849741</v>
      </c>
      <c r="Q14" s="16" t="s">
        <v>19</v>
      </c>
      <c r="R14" s="34">
        <f>D49</f>
        <v>0.20911930000000001</v>
      </c>
      <c r="S14" s="16" t="s">
        <v>25</v>
      </c>
      <c r="T14" s="34">
        <f>E49</f>
        <v>0.20397199999999999</v>
      </c>
      <c r="U14" s="93" t="s">
        <v>31</v>
      </c>
      <c r="V14" s="34">
        <f>F49</f>
        <v>0.25396449999999998</v>
      </c>
      <c r="W14" s="34" t="s">
        <v>37</v>
      </c>
      <c r="X14" s="56">
        <f>G49</f>
        <v>0.48643799999999998</v>
      </c>
      <c r="Y14" s="1"/>
      <c r="Z14" s="33" t="s">
        <v>1</v>
      </c>
      <c r="AA14" s="15" t="s">
        <v>7</v>
      </c>
      <c r="AB14" s="34">
        <f>AB12</f>
        <v>0.17286121267628671</v>
      </c>
      <c r="AC14" s="16" t="s">
        <v>13</v>
      </c>
      <c r="AD14" s="34">
        <f>AB12</f>
        <v>0.17286121267628671</v>
      </c>
      <c r="AE14" s="16" t="s">
        <v>19</v>
      </c>
      <c r="AF14" s="34">
        <f>AB12</f>
        <v>0.17286121267628671</v>
      </c>
      <c r="AG14" s="16" t="s">
        <v>25</v>
      </c>
      <c r="AH14" s="34">
        <f>AH13</f>
        <v>0.22111025343050794</v>
      </c>
      <c r="AI14" s="93" t="s">
        <v>31</v>
      </c>
      <c r="AJ14" s="34">
        <f>AH14</f>
        <v>0.22111025343050794</v>
      </c>
      <c r="AK14" s="34" t="s">
        <v>37</v>
      </c>
      <c r="AL14" s="56">
        <f>AH12</f>
        <v>0.48186007367645894</v>
      </c>
    </row>
    <row r="15" spans="1:38">
      <c r="A15" s="26"/>
      <c r="B15" s="96"/>
      <c r="C15" s="96"/>
      <c r="D15" s="96"/>
      <c r="E15" s="3"/>
      <c r="F15" s="3"/>
      <c r="G15" s="3"/>
      <c r="H15" s="95"/>
      <c r="I15" s="1"/>
      <c r="J15" s="1"/>
      <c r="K15" s="1"/>
      <c r="L15" s="33" t="s">
        <v>1</v>
      </c>
      <c r="M15" s="34" t="s">
        <v>55</v>
      </c>
      <c r="N15" s="34">
        <f>B8</f>
        <v>1.082266E-8</v>
      </c>
      <c r="O15" s="34"/>
      <c r="P15" s="34"/>
      <c r="Q15" s="34"/>
      <c r="R15" s="34"/>
      <c r="S15" s="34"/>
      <c r="T15" s="34"/>
      <c r="U15" s="34"/>
      <c r="V15" s="34"/>
      <c r="W15" s="34"/>
      <c r="X15" s="56"/>
      <c r="Y15" s="1"/>
      <c r="Z15" s="33" t="s">
        <v>1</v>
      </c>
      <c r="AA15" s="34" t="s">
        <v>55</v>
      </c>
      <c r="AB15" s="34">
        <f>T45</f>
        <v>4.577471333333333E-9</v>
      </c>
      <c r="AC15" s="34"/>
      <c r="AD15" s="34"/>
      <c r="AE15" s="34"/>
      <c r="AF15" s="34"/>
      <c r="AG15" s="34"/>
      <c r="AH15" s="34"/>
      <c r="AI15" s="34"/>
      <c r="AJ15" s="34"/>
      <c r="AK15" s="34"/>
      <c r="AL15" s="56"/>
    </row>
    <row r="16" spans="1:38">
      <c r="A16" s="26">
        <v>5</v>
      </c>
      <c r="B16" s="96">
        <v>-4.5771940000000001E-10</v>
      </c>
      <c r="C16" s="96">
        <v>-3.2111679999999999E-10</v>
      </c>
      <c r="D16" s="96">
        <v>-6.467365E-10</v>
      </c>
      <c r="E16" s="3">
        <v>-1.8997510000000001E-9</v>
      </c>
      <c r="F16" s="3">
        <v>1.1708709999999999E-8</v>
      </c>
      <c r="G16" s="3"/>
      <c r="H16" s="95"/>
      <c r="I16" s="1"/>
      <c r="J16" s="1"/>
      <c r="K16" s="1"/>
      <c r="L16" s="33" t="s">
        <v>1</v>
      </c>
      <c r="M16" s="35" t="s">
        <v>56</v>
      </c>
      <c r="N16" s="34">
        <f>-B10</f>
        <v>1.8997510000000001E-9</v>
      </c>
      <c r="O16" s="34" t="s">
        <v>57</v>
      </c>
      <c r="P16" s="34">
        <f>C10</f>
        <v>1.1708709999999999E-8</v>
      </c>
      <c r="Q16" s="34"/>
      <c r="R16" s="34"/>
      <c r="S16" s="34"/>
      <c r="T16" s="34"/>
      <c r="U16" s="34"/>
      <c r="V16" s="34"/>
      <c r="W16" s="34"/>
      <c r="X16" s="56"/>
      <c r="Y16" s="1"/>
      <c r="Z16" s="33" t="s">
        <v>1</v>
      </c>
      <c r="AA16" s="35" t="s">
        <v>56</v>
      </c>
      <c r="AB16" s="34">
        <f>T46</f>
        <v>2.3356713333333335E-9</v>
      </c>
      <c r="AC16" s="34" t="s">
        <v>57</v>
      </c>
      <c r="AD16" s="34">
        <f>AB15</f>
        <v>4.577471333333333E-9</v>
      </c>
      <c r="AE16" s="34"/>
      <c r="AF16" s="34"/>
      <c r="AG16" s="34"/>
      <c r="AH16" s="34"/>
      <c r="AI16" s="34"/>
      <c r="AJ16" s="34"/>
      <c r="AK16" s="34"/>
      <c r="AL16" s="56"/>
    </row>
    <row r="17" spans="1:38">
      <c r="A17" s="26"/>
      <c r="B17" s="96"/>
      <c r="C17" s="96"/>
      <c r="D17" s="96"/>
      <c r="E17" s="3"/>
      <c r="F17" s="3"/>
      <c r="G17" s="3"/>
      <c r="H17" s="95"/>
      <c r="I17" s="1"/>
      <c r="J17" s="1"/>
      <c r="K17" s="1"/>
      <c r="L17" s="33" t="s">
        <v>1</v>
      </c>
      <c r="M17" s="34" t="s">
        <v>58</v>
      </c>
      <c r="N17" s="34">
        <f>-B12</f>
        <v>1.6985759999999999E-9</v>
      </c>
      <c r="O17" s="34" t="s">
        <v>59</v>
      </c>
      <c r="P17" s="34">
        <f>-C12</f>
        <v>3.408687E-9</v>
      </c>
      <c r="Q17" s="34" t="s">
        <v>60</v>
      </c>
      <c r="R17" s="34">
        <f>D12</f>
        <v>1.208271E-8</v>
      </c>
      <c r="S17" s="34"/>
      <c r="T17" s="34"/>
      <c r="U17" s="34"/>
      <c r="V17" s="34"/>
      <c r="W17" s="34"/>
      <c r="X17" s="56"/>
      <c r="Y17" s="1"/>
      <c r="Z17" s="33" t="s">
        <v>1</v>
      </c>
      <c r="AA17" s="34" t="s">
        <v>58</v>
      </c>
      <c r="AB17" s="34">
        <f>AB16</f>
        <v>2.3356713333333335E-9</v>
      </c>
      <c r="AC17" s="34" t="s">
        <v>59</v>
      </c>
      <c r="AD17" s="34">
        <f>AB16</f>
        <v>2.3356713333333335E-9</v>
      </c>
      <c r="AE17" s="34" t="s">
        <v>60</v>
      </c>
      <c r="AF17" s="34">
        <f>AB15</f>
        <v>4.577471333333333E-9</v>
      </c>
      <c r="AG17" s="34"/>
      <c r="AH17" s="34"/>
      <c r="AI17" s="34"/>
      <c r="AJ17" s="34"/>
      <c r="AK17" s="34"/>
      <c r="AL17" s="56"/>
    </row>
    <row r="18" spans="1:38" ht="15.75" thickBot="1">
      <c r="A18" s="27">
        <v>6</v>
      </c>
      <c r="B18" s="4">
        <v>-7.7600820000000004E-10</v>
      </c>
      <c r="C18" s="4">
        <v>-6.467365E-10</v>
      </c>
      <c r="D18" s="4">
        <v>-1.54756E-9</v>
      </c>
      <c r="E18" s="4">
        <v>-1.6985759999999999E-9</v>
      </c>
      <c r="F18" s="4">
        <v>-3.408687E-9</v>
      </c>
      <c r="G18" s="4">
        <v>1.208271E-8</v>
      </c>
      <c r="H18" s="97"/>
      <c r="I18" s="1"/>
      <c r="J18" s="1"/>
      <c r="K18" s="1"/>
      <c r="L18" s="33" t="s">
        <v>1</v>
      </c>
      <c r="M18" s="34" t="s">
        <v>79</v>
      </c>
      <c r="N18" s="34">
        <f>-B14</f>
        <v>1.238033E-9</v>
      </c>
      <c r="O18" s="34" t="s">
        <v>80</v>
      </c>
      <c r="P18" s="34">
        <f>-C14</f>
        <v>4.5771940000000001E-10</v>
      </c>
      <c r="Q18" s="34" t="s">
        <v>81</v>
      </c>
      <c r="R18" s="34">
        <f>-D14</f>
        <v>7.7600820000000004E-10</v>
      </c>
      <c r="S18" s="34" t="s">
        <v>82</v>
      </c>
      <c r="T18" s="34">
        <f>E14</f>
        <v>1.082266E-8</v>
      </c>
      <c r="U18" s="34"/>
      <c r="V18" s="34"/>
      <c r="W18" s="34"/>
      <c r="X18" s="56"/>
      <c r="Y18" s="1"/>
      <c r="Z18" s="33" t="s">
        <v>1</v>
      </c>
      <c r="AA18" s="34" t="s">
        <v>79</v>
      </c>
      <c r="AB18" s="34">
        <f>T48</f>
        <v>7.6307088888888899E-10</v>
      </c>
      <c r="AC18" s="34" t="s">
        <v>80</v>
      </c>
      <c r="AD18" s="34">
        <f>AB18</f>
        <v>7.6307088888888899E-10</v>
      </c>
      <c r="AE18" s="34" t="s">
        <v>81</v>
      </c>
      <c r="AF18" s="34">
        <f>AB18</f>
        <v>7.6307088888888899E-10</v>
      </c>
      <c r="AG18" s="34" t="s">
        <v>82</v>
      </c>
      <c r="AH18" s="34">
        <f>AF17</f>
        <v>4.577471333333333E-9</v>
      </c>
      <c r="AI18" s="34"/>
      <c r="AJ18" s="34"/>
      <c r="AK18" s="34"/>
      <c r="AL18" s="56"/>
    </row>
    <row r="19" spans="1:38">
      <c r="A19" s="5"/>
      <c r="B19" s="5"/>
      <c r="C19" s="5"/>
      <c r="D19" s="5"/>
      <c r="E19" s="5"/>
      <c r="F19" s="5"/>
      <c r="G19" s="5"/>
      <c r="H19" s="95"/>
      <c r="I19" s="1"/>
      <c r="J19" s="1"/>
      <c r="K19" s="1"/>
      <c r="L19" s="33" t="s">
        <v>1</v>
      </c>
      <c r="M19" s="34" t="s">
        <v>83</v>
      </c>
      <c r="N19" s="34">
        <f>-B16</f>
        <v>4.5771940000000001E-10</v>
      </c>
      <c r="O19" s="34" t="s">
        <v>84</v>
      </c>
      <c r="P19" s="34">
        <f>-C16</f>
        <v>3.2111679999999999E-10</v>
      </c>
      <c r="Q19" s="34" t="s">
        <v>85</v>
      </c>
      <c r="R19" s="34">
        <f>-D16</f>
        <v>6.467365E-10</v>
      </c>
      <c r="S19" s="34" t="s">
        <v>86</v>
      </c>
      <c r="T19" s="34">
        <f>-E16</f>
        <v>1.8997510000000001E-9</v>
      </c>
      <c r="U19" s="34" t="s">
        <v>87</v>
      </c>
      <c r="V19" s="34">
        <f>F16</f>
        <v>1.1708709999999999E-8</v>
      </c>
      <c r="W19" s="34"/>
      <c r="X19" s="56"/>
      <c r="Y19" s="1"/>
      <c r="Z19" s="33" t="s">
        <v>1</v>
      </c>
      <c r="AA19" s="34" t="s">
        <v>83</v>
      </c>
      <c r="AB19" s="34">
        <f>AB18</f>
        <v>7.6307088888888899E-10</v>
      </c>
      <c r="AC19" s="34" t="s">
        <v>84</v>
      </c>
      <c r="AD19" s="34">
        <f>AB18</f>
        <v>7.6307088888888899E-10</v>
      </c>
      <c r="AE19" s="34" t="s">
        <v>85</v>
      </c>
      <c r="AF19" s="34">
        <f>AB18</f>
        <v>7.6307088888888899E-10</v>
      </c>
      <c r="AG19" s="34" t="s">
        <v>86</v>
      </c>
      <c r="AH19" s="34">
        <f>W49</f>
        <v>2.3356713333333335E-9</v>
      </c>
      <c r="AI19" s="34" t="s">
        <v>87</v>
      </c>
      <c r="AJ19" s="34">
        <f>AH18</f>
        <v>4.577471333333333E-9</v>
      </c>
      <c r="AK19" s="34"/>
      <c r="AL19" s="56"/>
    </row>
    <row r="20" spans="1:38" ht="15.75" thickBot="1">
      <c r="A20" s="27"/>
      <c r="B20" s="4"/>
      <c r="C20" s="4"/>
      <c r="D20" s="4"/>
      <c r="E20" s="4"/>
      <c r="F20" s="4"/>
      <c r="G20" s="4"/>
      <c r="H20" s="97"/>
      <c r="I20" s="1"/>
      <c r="J20" s="1"/>
      <c r="K20" s="1"/>
      <c r="L20" s="36" t="s">
        <v>1</v>
      </c>
      <c r="M20" s="37" t="s">
        <v>88</v>
      </c>
      <c r="N20" s="37">
        <f>-B18</f>
        <v>7.7600820000000004E-10</v>
      </c>
      <c r="O20" s="37" t="s">
        <v>89</v>
      </c>
      <c r="P20" s="37">
        <f>-C18</f>
        <v>6.467365E-10</v>
      </c>
      <c r="Q20" s="37" t="s">
        <v>90</v>
      </c>
      <c r="R20" s="37">
        <f>-D18</f>
        <v>1.54756E-9</v>
      </c>
      <c r="S20" s="37" t="s">
        <v>91</v>
      </c>
      <c r="T20" s="37">
        <f>-E18</f>
        <v>1.6985759999999999E-9</v>
      </c>
      <c r="U20" s="37" t="s">
        <v>92</v>
      </c>
      <c r="V20" s="37">
        <f>-F18</f>
        <v>3.408687E-9</v>
      </c>
      <c r="W20" s="37" t="s">
        <v>93</v>
      </c>
      <c r="X20" s="57">
        <f>G18</f>
        <v>1.208271E-8</v>
      </c>
      <c r="Y20" s="1"/>
      <c r="Z20" s="36" t="s">
        <v>1</v>
      </c>
      <c r="AA20" s="37" t="s">
        <v>88</v>
      </c>
      <c r="AB20" s="37">
        <f>AB18</f>
        <v>7.6307088888888899E-10</v>
      </c>
      <c r="AC20" s="37" t="s">
        <v>89</v>
      </c>
      <c r="AD20" s="37">
        <f>AB18</f>
        <v>7.6307088888888899E-10</v>
      </c>
      <c r="AE20" s="37" t="s">
        <v>90</v>
      </c>
      <c r="AF20" s="37">
        <f>AB18</f>
        <v>7.6307088888888899E-10</v>
      </c>
      <c r="AG20" s="37" t="s">
        <v>91</v>
      </c>
      <c r="AH20" s="37">
        <f>AH19</f>
        <v>2.3356713333333335E-9</v>
      </c>
      <c r="AI20" s="37" t="s">
        <v>92</v>
      </c>
      <c r="AJ20" s="37">
        <f>AH19</f>
        <v>2.3356713333333335E-9</v>
      </c>
      <c r="AK20" s="37" t="s">
        <v>93</v>
      </c>
      <c r="AL20" s="57">
        <f>AJ19</f>
        <v>4.577471333333333E-9</v>
      </c>
    </row>
    <row r="21" spans="1:38">
      <c r="H21" s="1"/>
      <c r="I21" s="1"/>
      <c r="J21" s="1"/>
      <c r="K21" s="1"/>
      <c r="Y21" s="1"/>
    </row>
    <row r="22" spans="1:38">
      <c r="H22" s="1"/>
      <c r="I22" s="1"/>
      <c r="J22" s="1"/>
      <c r="K22" s="1"/>
      <c r="N22" s="1"/>
      <c r="O22" s="1"/>
      <c r="P22" s="1"/>
      <c r="Q22" s="1"/>
    </row>
    <row r="23" spans="1:38">
      <c r="H23" s="1"/>
      <c r="I23" s="1"/>
      <c r="J23" s="1"/>
      <c r="K23" s="1"/>
      <c r="L23" s="11" t="s">
        <v>61</v>
      </c>
      <c r="M23" s="8">
        <f>(B33+C36+D39)/3</f>
        <v>5.0519150000000006E-2</v>
      </c>
      <c r="N23" s="1"/>
      <c r="O23" s="1"/>
      <c r="P23" s="1"/>
      <c r="Q23" s="1"/>
      <c r="AA23" s="29"/>
    </row>
    <row r="24" spans="1:38">
      <c r="H24" s="1"/>
      <c r="I24" s="1"/>
      <c r="J24" s="1"/>
      <c r="K24" s="1"/>
      <c r="L24" s="11" t="s">
        <v>94</v>
      </c>
      <c r="M24" s="8">
        <f>(E42+F45+G48)/3</f>
        <v>5.0519150000000006E-2</v>
      </c>
      <c r="N24" s="1"/>
      <c r="O24" s="1"/>
      <c r="P24" s="1"/>
      <c r="Q24" s="1"/>
      <c r="AA24" s="29"/>
    </row>
    <row r="25" spans="1:38" ht="26.25">
      <c r="B25" s="195" t="s">
        <v>297</v>
      </c>
      <c r="H25" s="1"/>
      <c r="I25" s="1"/>
      <c r="J25" s="1"/>
      <c r="K25" s="1"/>
      <c r="L25" s="11" t="s">
        <v>63</v>
      </c>
      <c r="M25" s="8">
        <f>(B36+B39+B42+B45+B48)/5</f>
        <v>3.5796322000000005E-2</v>
      </c>
      <c r="R25" s="38" t="s">
        <v>95</v>
      </c>
      <c r="S25" s="1">
        <v>1</v>
      </c>
      <c r="T25" s="1">
        <v>2</v>
      </c>
      <c r="U25" s="1">
        <v>3</v>
      </c>
      <c r="V25" s="1">
        <v>4</v>
      </c>
      <c r="W25" s="1">
        <v>5</v>
      </c>
      <c r="X25" s="1">
        <v>6</v>
      </c>
      <c r="AA25" s="29"/>
    </row>
    <row r="26" spans="1:38">
      <c r="H26" s="1"/>
      <c r="I26" s="1"/>
      <c r="J26" s="1"/>
      <c r="K26" s="1"/>
      <c r="R26" s="1">
        <v>1</v>
      </c>
      <c r="S26" s="34">
        <f t="shared" ref="S26:S31" si="0">N15</f>
        <v>1.082266E-8</v>
      </c>
      <c r="T26" s="34">
        <f>S27</f>
        <v>1.8997510000000001E-9</v>
      </c>
      <c r="U26" s="34">
        <f>S28</f>
        <v>1.6985759999999999E-9</v>
      </c>
      <c r="V26" s="34">
        <f>S29</f>
        <v>1.238033E-9</v>
      </c>
      <c r="W26" s="34">
        <f>S30</f>
        <v>4.5771940000000001E-10</v>
      </c>
      <c r="X26" s="34">
        <f>S31</f>
        <v>7.7600820000000004E-10</v>
      </c>
    </row>
    <row r="27" spans="1:38">
      <c r="H27" s="1"/>
      <c r="I27" s="1"/>
      <c r="J27" s="1"/>
      <c r="K27" s="1"/>
      <c r="R27" s="1">
        <v>2</v>
      </c>
      <c r="S27" s="34">
        <f t="shared" si="0"/>
        <v>1.8997510000000001E-9</v>
      </c>
      <c r="T27" s="34">
        <f>P16</f>
        <v>1.1708709999999999E-8</v>
      </c>
      <c r="U27" s="34">
        <f>T28</f>
        <v>3.408687E-9</v>
      </c>
      <c r="V27" s="34">
        <f>T29</f>
        <v>4.5771940000000001E-10</v>
      </c>
      <c r="W27" s="34">
        <f>T30</f>
        <v>3.2111679999999999E-10</v>
      </c>
      <c r="X27" s="34">
        <f>T31</f>
        <v>6.467365E-10</v>
      </c>
    </row>
    <row r="28" spans="1:38">
      <c r="H28" s="1"/>
      <c r="I28" s="1"/>
      <c r="J28" s="1"/>
      <c r="K28" s="1"/>
      <c r="L28" s="38" t="s">
        <v>96</v>
      </c>
      <c r="R28" s="1">
        <v>3</v>
      </c>
      <c r="S28" s="34">
        <f t="shared" si="0"/>
        <v>1.6985759999999999E-9</v>
      </c>
      <c r="T28" s="34">
        <f>P17</f>
        <v>3.408687E-9</v>
      </c>
      <c r="U28" s="34">
        <f>R17</f>
        <v>1.208271E-8</v>
      </c>
      <c r="V28" s="34">
        <f>U29</f>
        <v>7.7600820000000004E-10</v>
      </c>
      <c r="W28" s="34">
        <f>U30</f>
        <v>6.467365E-10</v>
      </c>
      <c r="X28" s="34">
        <f>U31</f>
        <v>1.54756E-9</v>
      </c>
    </row>
    <row r="29" spans="1:38">
      <c r="H29" s="1"/>
      <c r="I29" s="1"/>
      <c r="J29" s="1"/>
      <c r="K29" s="1"/>
      <c r="R29" s="1">
        <v>4</v>
      </c>
      <c r="S29" s="34">
        <f t="shared" si="0"/>
        <v>1.238033E-9</v>
      </c>
      <c r="T29" s="34">
        <f>P18</f>
        <v>4.5771940000000001E-10</v>
      </c>
      <c r="U29" s="34">
        <f>R18</f>
        <v>7.7600820000000004E-10</v>
      </c>
      <c r="V29" s="34">
        <f>T18</f>
        <v>1.082266E-8</v>
      </c>
      <c r="W29" s="34">
        <f>V30</f>
        <v>1.8997510000000001E-9</v>
      </c>
      <c r="X29" s="34">
        <f>V31</f>
        <v>1.6985759999999999E-9</v>
      </c>
      <c r="Y29" s="1"/>
    </row>
    <row r="30" spans="1:38">
      <c r="H30" s="1"/>
      <c r="I30" s="1"/>
      <c r="J30" s="1"/>
      <c r="K30" s="1"/>
      <c r="L30" s="30"/>
      <c r="M30" s="39">
        <f>(M23+M24)/2</f>
        <v>5.0519150000000006E-2</v>
      </c>
      <c r="N30" s="76" t="s">
        <v>162</v>
      </c>
      <c r="O30" s="1"/>
      <c r="P30" s="1"/>
      <c r="Q30" s="1"/>
      <c r="R30" s="1">
        <v>5</v>
      </c>
      <c r="S30" s="34">
        <f t="shared" si="0"/>
        <v>4.5771940000000001E-10</v>
      </c>
      <c r="T30" s="34">
        <f>P19</f>
        <v>3.2111679999999999E-10</v>
      </c>
      <c r="U30" s="34">
        <f>R19</f>
        <v>6.467365E-10</v>
      </c>
      <c r="V30" s="34">
        <f>T19</f>
        <v>1.8997510000000001E-9</v>
      </c>
      <c r="W30" s="34">
        <f>V19</f>
        <v>1.1708709999999999E-8</v>
      </c>
      <c r="X30" s="34">
        <f>W31</f>
        <v>3.408687E-9</v>
      </c>
      <c r="Y30" s="1"/>
    </row>
    <row r="31" spans="1:38">
      <c r="A31" s="5"/>
      <c r="B31" s="5" t="s">
        <v>62</v>
      </c>
      <c r="C31" s="5"/>
      <c r="D31" s="5"/>
      <c r="E31" s="5"/>
      <c r="F31" s="5"/>
      <c r="G31" s="28"/>
      <c r="H31" s="1"/>
      <c r="I31" s="1"/>
      <c r="J31" s="1"/>
      <c r="K31" s="1"/>
      <c r="L31" s="38"/>
      <c r="M31" s="39">
        <f>M25</f>
        <v>3.5796322000000005E-2</v>
      </c>
      <c r="N31" s="75" t="s">
        <v>98</v>
      </c>
      <c r="Q31" s="1"/>
      <c r="R31" s="1">
        <v>6</v>
      </c>
      <c r="S31" s="34">
        <f t="shared" si="0"/>
        <v>7.7600820000000004E-10</v>
      </c>
      <c r="T31" s="34">
        <f>P20</f>
        <v>6.467365E-10</v>
      </c>
      <c r="U31" s="34">
        <f>R20</f>
        <v>1.54756E-9</v>
      </c>
      <c r="V31" s="34">
        <f>T20</f>
        <v>1.6985759999999999E-9</v>
      </c>
      <c r="W31" s="34">
        <f>V20</f>
        <v>3.408687E-9</v>
      </c>
      <c r="X31" s="34">
        <f>X20</f>
        <v>1.208271E-8</v>
      </c>
      <c r="Y31" s="1"/>
    </row>
    <row r="32" spans="1:38" ht="15.75" thickBot="1">
      <c r="A32" s="5"/>
      <c r="B32" s="5"/>
      <c r="C32" s="5"/>
      <c r="D32" s="5"/>
      <c r="E32" s="5"/>
      <c r="F32" s="5"/>
      <c r="G32" s="5"/>
      <c r="H32" s="1"/>
      <c r="I32" s="1"/>
      <c r="J32" s="1"/>
      <c r="K32" s="1"/>
      <c r="M32" s="84">
        <f>(M23+M24)/2-M31</f>
        <v>1.4722828E-2</v>
      </c>
      <c r="N32" s="1" t="s">
        <v>97</v>
      </c>
      <c r="P32" s="91" t="s">
        <v>217</v>
      </c>
      <c r="Q32" s="1"/>
      <c r="X32" s="1"/>
      <c r="Y32" s="1"/>
    </row>
    <row r="33" spans="1:37">
      <c r="A33" s="25">
        <v>1</v>
      </c>
      <c r="B33" s="2">
        <v>5.0750549999999998E-2</v>
      </c>
      <c r="C33" s="2"/>
      <c r="D33" s="2"/>
      <c r="E33" s="2"/>
      <c r="F33" s="2"/>
      <c r="G33" s="6"/>
      <c r="H33" s="6"/>
      <c r="I33" s="1"/>
      <c r="J33" s="1"/>
      <c r="K33" s="1"/>
      <c r="N33" s="1"/>
      <c r="O33" s="87" t="s">
        <v>170</v>
      </c>
      <c r="P33">
        <v>50</v>
      </c>
      <c r="Q33" s="1"/>
      <c r="R33" s="38" t="s">
        <v>99</v>
      </c>
      <c r="S33" s="1">
        <v>1</v>
      </c>
      <c r="T33" s="1">
        <v>2</v>
      </c>
      <c r="U33" s="1">
        <v>3</v>
      </c>
      <c r="V33" s="1">
        <v>4</v>
      </c>
      <c r="W33" s="1">
        <v>5</v>
      </c>
      <c r="X33" s="1">
        <v>6</v>
      </c>
      <c r="Y33" s="1"/>
    </row>
    <row r="34" spans="1:37">
      <c r="A34" s="26"/>
      <c r="B34" s="3">
        <v>0.47015770000000001</v>
      </c>
      <c r="C34" s="3"/>
      <c r="D34" s="3"/>
      <c r="E34" s="3"/>
      <c r="F34" s="3"/>
      <c r="G34" s="7"/>
      <c r="H34" s="7"/>
      <c r="I34" s="1"/>
      <c r="J34" s="1"/>
      <c r="K34" s="1"/>
      <c r="N34" s="1"/>
      <c r="Q34" s="1"/>
      <c r="R34" s="1">
        <v>1</v>
      </c>
      <c r="S34" s="8">
        <f t="shared" ref="S34:S39" si="1">N9</f>
        <v>0.47015770000000001</v>
      </c>
      <c r="T34" s="8">
        <f>S35</f>
        <v>0.20539370000000001</v>
      </c>
      <c r="U34" s="8">
        <f>S36</f>
        <v>0.20397199999999999</v>
      </c>
      <c r="V34" s="8">
        <f>S37</f>
        <v>0.16735169999999999</v>
      </c>
      <c r="W34" s="8">
        <f>S38</f>
        <v>0.15995860000000001</v>
      </c>
      <c r="X34" s="8">
        <f>S39</f>
        <v>0.17365050000000001</v>
      </c>
      <c r="Y34" s="1"/>
    </row>
    <row r="35" spans="1:37">
      <c r="A35" s="26"/>
      <c r="B35" s="3"/>
      <c r="C35" s="3"/>
      <c r="D35" s="3"/>
      <c r="E35" s="3"/>
      <c r="F35" s="3"/>
      <c r="G35" s="7"/>
      <c r="H35" s="7"/>
      <c r="I35" s="1"/>
      <c r="J35" s="1"/>
      <c r="K35" s="1"/>
      <c r="L35" s="30" t="s">
        <v>64</v>
      </c>
      <c r="M35" s="8">
        <f>N15-N16-N17-N18-N19-N20</f>
        <v>4.7525723999999998E-9</v>
      </c>
      <c r="N35" s="1"/>
      <c r="O35" s="30" t="s">
        <v>100</v>
      </c>
      <c r="P35" s="8">
        <f>N9</f>
        <v>0.47015770000000001</v>
      </c>
      <c r="Q35" s="30"/>
      <c r="R35" s="1">
        <v>2</v>
      </c>
      <c r="S35" s="8">
        <f t="shared" si="1"/>
        <v>0.20539370000000001</v>
      </c>
      <c r="T35" s="8">
        <f>P10</f>
        <v>0.48898330000000001</v>
      </c>
      <c r="U35" s="8">
        <f>T36</f>
        <v>0.25396449999999998</v>
      </c>
      <c r="V35" s="8">
        <f>T37</f>
        <v>0.15995860000000001</v>
      </c>
      <c r="W35" s="8">
        <f>T38</f>
        <v>0.168184</v>
      </c>
      <c r="X35" s="8">
        <f>T39</f>
        <v>0.1849741</v>
      </c>
      <c r="Y35" s="1"/>
    </row>
    <row r="36" spans="1:37">
      <c r="A36" s="26">
        <v>2</v>
      </c>
      <c r="B36" s="3">
        <v>3.569638E-2</v>
      </c>
      <c r="C36" s="3">
        <v>5.0350390000000002E-2</v>
      </c>
      <c r="D36" s="3"/>
      <c r="E36" s="3"/>
      <c r="F36" s="3"/>
      <c r="G36" s="7"/>
      <c r="H36" s="7"/>
      <c r="I36" s="1"/>
      <c r="J36" s="1"/>
      <c r="K36" s="1"/>
      <c r="L36" s="38" t="s">
        <v>65</v>
      </c>
      <c r="M36" s="8">
        <f>T27-T28-T29-T30-T31-T26</f>
        <v>4.9746993E-9</v>
      </c>
      <c r="N36" s="1"/>
      <c r="O36" s="30" t="s">
        <v>101</v>
      </c>
      <c r="P36" s="8">
        <f>P10</f>
        <v>0.48898330000000001</v>
      </c>
      <c r="Q36" s="30"/>
      <c r="R36" s="1">
        <v>3</v>
      </c>
      <c r="S36" s="8">
        <f t="shared" si="1"/>
        <v>0.20397199999999999</v>
      </c>
      <c r="T36" s="8">
        <f>P11</f>
        <v>0.25396449999999998</v>
      </c>
      <c r="U36" s="8">
        <f>R11</f>
        <v>0.48643799999999998</v>
      </c>
      <c r="V36" s="8">
        <f>U37</f>
        <v>0.17365050000000001</v>
      </c>
      <c r="W36" s="8">
        <f>U38</f>
        <v>0.1849741</v>
      </c>
      <c r="X36" s="8">
        <f>U39</f>
        <v>0.20911930000000001</v>
      </c>
      <c r="Y36" s="1"/>
    </row>
    <row r="37" spans="1:37">
      <c r="A37" s="26"/>
      <c r="B37" s="3">
        <v>0.20539370000000001</v>
      </c>
      <c r="C37" s="3">
        <v>0.48898330000000001</v>
      </c>
      <c r="D37" s="3"/>
      <c r="E37" s="3"/>
      <c r="F37" s="3"/>
      <c r="G37" s="7"/>
      <c r="H37" s="7"/>
      <c r="I37" s="1"/>
      <c r="J37" s="1"/>
      <c r="K37" s="1"/>
      <c r="L37" s="38" t="s">
        <v>66</v>
      </c>
      <c r="M37" s="8">
        <f>U28-U29-U30-U31-U26-U27</f>
        <v>4.0051422999999992E-9</v>
      </c>
      <c r="O37" s="30" t="s">
        <v>102</v>
      </c>
      <c r="P37" s="8">
        <f>R11</f>
        <v>0.48643799999999998</v>
      </c>
      <c r="Q37" s="30"/>
      <c r="R37" s="1">
        <v>4</v>
      </c>
      <c r="S37" s="8">
        <f t="shared" si="1"/>
        <v>0.16735169999999999</v>
      </c>
      <c r="T37" s="8">
        <f>P12</f>
        <v>0.15995860000000001</v>
      </c>
      <c r="U37" s="8">
        <f>R12</f>
        <v>0.17365050000000001</v>
      </c>
      <c r="V37" s="8">
        <f>T12</f>
        <v>0.47015770000000001</v>
      </c>
      <c r="W37" s="8">
        <f>V38</f>
        <v>0.20539370000000001</v>
      </c>
      <c r="X37" s="8">
        <f>V39</f>
        <v>0.20397199999999999</v>
      </c>
      <c r="Y37" s="1"/>
    </row>
    <row r="38" spans="1:37">
      <c r="A38" s="26"/>
      <c r="B38" s="3"/>
      <c r="C38" s="3"/>
      <c r="D38" s="3"/>
      <c r="E38" s="3"/>
      <c r="F38" s="3"/>
      <c r="G38" s="7"/>
      <c r="H38" s="7"/>
      <c r="I38" s="1"/>
      <c r="J38" s="1"/>
      <c r="K38" s="1"/>
      <c r="L38" t="s">
        <v>103</v>
      </c>
      <c r="M38" s="8">
        <f>V29-V30-V31-V26-V27-V28</f>
        <v>4.7525723999999998E-9</v>
      </c>
      <c r="O38" s="30" t="s">
        <v>104</v>
      </c>
      <c r="P38" s="8">
        <f>T12</f>
        <v>0.47015770000000001</v>
      </c>
      <c r="Q38" s="30"/>
      <c r="R38" s="1">
        <v>5</v>
      </c>
      <c r="S38" s="8">
        <f t="shared" si="1"/>
        <v>0.15995860000000001</v>
      </c>
      <c r="T38" s="8">
        <f>P13</f>
        <v>0.168184</v>
      </c>
      <c r="U38" s="8">
        <f>R13</f>
        <v>0.1849741</v>
      </c>
      <c r="V38" s="8">
        <f>T13</f>
        <v>0.20539370000000001</v>
      </c>
      <c r="W38" s="8">
        <f>V13</f>
        <v>0.48898330000000001</v>
      </c>
      <c r="X38" s="8">
        <f>W39</f>
        <v>0.25396449999999998</v>
      </c>
      <c r="Y38" s="1"/>
    </row>
    <row r="39" spans="1:37">
      <c r="A39" s="26">
        <v>3</v>
      </c>
      <c r="B39" s="3">
        <v>3.5788269999999997E-2</v>
      </c>
      <c r="C39" s="3">
        <v>3.5715909999999997E-2</v>
      </c>
      <c r="D39" s="3">
        <v>5.0456510000000003E-2</v>
      </c>
      <c r="E39" s="3"/>
      <c r="F39" s="3"/>
      <c r="G39" s="7"/>
      <c r="H39" s="7"/>
      <c r="I39" s="1"/>
      <c r="J39" s="1"/>
      <c r="K39" s="1"/>
      <c r="L39" s="1" t="s">
        <v>105</v>
      </c>
      <c r="M39" s="8">
        <f>W30-W31-W26-W27-W28-W29</f>
        <v>4.9746993E-9</v>
      </c>
      <c r="O39" s="30" t="s">
        <v>106</v>
      </c>
      <c r="P39" s="8">
        <f>V13</f>
        <v>0.48898330000000001</v>
      </c>
      <c r="Q39" s="30"/>
      <c r="R39" s="1">
        <v>6</v>
      </c>
      <c r="S39" s="8">
        <f t="shared" si="1"/>
        <v>0.17365050000000001</v>
      </c>
      <c r="T39" s="8">
        <f>P14</f>
        <v>0.1849741</v>
      </c>
      <c r="U39" s="8">
        <f>R14</f>
        <v>0.20911930000000001</v>
      </c>
      <c r="V39" s="8">
        <f>T14</f>
        <v>0.20397199999999999</v>
      </c>
      <c r="W39" s="8">
        <f>V14</f>
        <v>0.25396449999999998</v>
      </c>
      <c r="X39" s="34">
        <f>X14</f>
        <v>0.48643799999999998</v>
      </c>
      <c r="Y39" s="1"/>
    </row>
    <row r="40" spans="1:37">
      <c r="A40" s="26"/>
      <c r="B40" s="3">
        <v>0.20397199999999999</v>
      </c>
      <c r="C40" s="3">
        <v>0.25396449999999998</v>
      </c>
      <c r="D40" s="3">
        <v>0.48643799999999998</v>
      </c>
      <c r="E40" s="3"/>
      <c r="F40" s="3"/>
      <c r="G40" s="7"/>
      <c r="H40" s="7"/>
      <c r="I40" s="1"/>
      <c r="J40" s="1"/>
      <c r="K40" s="1"/>
      <c r="L40" s="1" t="s">
        <v>107</v>
      </c>
      <c r="M40" s="8">
        <f>X31-X30-X29-X28-X27-X26</f>
        <v>4.0051422999999992E-9</v>
      </c>
      <c r="O40" s="38" t="s">
        <v>108</v>
      </c>
      <c r="P40" s="8">
        <f>X14</f>
        <v>0.48643799999999998</v>
      </c>
      <c r="Q40" s="30"/>
      <c r="R40" s="1"/>
      <c r="S40" s="1"/>
      <c r="T40" s="1"/>
      <c r="U40" s="1"/>
      <c r="V40" s="1"/>
      <c r="W40" s="1"/>
      <c r="X40" s="1"/>
      <c r="Y40" s="1"/>
    </row>
    <row r="41" spans="1:37">
      <c r="A41" s="26"/>
      <c r="B41" s="3"/>
      <c r="C41" s="3"/>
      <c r="D41" s="3"/>
      <c r="E41" s="3"/>
      <c r="F41" s="3"/>
      <c r="G41" s="7"/>
      <c r="H41" s="7"/>
      <c r="I41" s="1"/>
      <c r="J41" s="1"/>
      <c r="K41" s="1"/>
      <c r="L41" s="1" t="s">
        <v>109</v>
      </c>
      <c r="M41" s="39">
        <f>AVERAGE(M35:M40)</f>
        <v>4.577471333333333E-9</v>
      </c>
      <c r="N41" s="40" t="s">
        <v>110</v>
      </c>
      <c r="O41" s="38" t="s">
        <v>111</v>
      </c>
      <c r="P41" s="39">
        <f>(P35+P36+P37+P38+P39+P40)/6/2/3.14159/M72</f>
        <v>1.5338082520846665E-3</v>
      </c>
      <c r="Q41" s="40" t="s">
        <v>112</v>
      </c>
      <c r="R41" s="1"/>
      <c r="S41" s="1"/>
      <c r="T41" s="1"/>
      <c r="U41" s="1"/>
      <c r="V41" s="1"/>
      <c r="W41" s="1"/>
      <c r="X41" s="1"/>
      <c r="Y41" s="1"/>
      <c r="Z41" s="29"/>
      <c r="AA41" s="29"/>
    </row>
    <row r="42" spans="1:37">
      <c r="A42" s="26">
        <v>4</v>
      </c>
      <c r="B42" s="96">
        <v>3.605676E-2</v>
      </c>
      <c r="C42" s="96">
        <v>3.5665750000000003E-2</v>
      </c>
      <c r="D42" s="96">
        <v>3.5774449999999999E-2</v>
      </c>
      <c r="E42" s="3">
        <v>5.0750549999999998E-2</v>
      </c>
      <c r="F42" s="3"/>
      <c r="G42" s="7"/>
      <c r="H42" s="7"/>
      <c r="I42" s="1"/>
      <c r="J42" s="1"/>
      <c r="K42" s="1"/>
      <c r="L42" s="1"/>
      <c r="R42" s="1"/>
      <c r="S42" s="38"/>
      <c r="T42" s="99" t="s">
        <v>223</v>
      </c>
      <c r="U42" s="1"/>
      <c r="V42" s="1"/>
      <c r="W42" s="1"/>
      <c r="X42" s="1"/>
      <c r="Y42" s="1"/>
      <c r="Z42" s="1"/>
      <c r="AA42" s="29"/>
      <c r="AB42" s="29"/>
      <c r="AF42" s="118" t="s">
        <v>71</v>
      </c>
      <c r="AG42">
        <v>50</v>
      </c>
    </row>
    <row r="43" spans="1:37">
      <c r="A43" s="26"/>
      <c r="B43" s="96">
        <v>0.16735169999999999</v>
      </c>
      <c r="C43" s="96">
        <v>0.15995860000000001</v>
      </c>
      <c r="D43" s="96">
        <v>0.17365050000000001</v>
      </c>
      <c r="E43" s="3">
        <v>0.47015770000000001</v>
      </c>
      <c r="F43" s="3"/>
      <c r="G43" s="7"/>
      <c r="H43" s="7"/>
      <c r="I43" s="1"/>
      <c r="J43" s="1"/>
      <c r="K43" s="1"/>
      <c r="L43" s="1" t="s">
        <v>67</v>
      </c>
      <c r="M43" s="8">
        <f>N16</f>
        <v>1.8997510000000001E-9</v>
      </c>
      <c r="O43" s="38" t="s">
        <v>113</v>
      </c>
      <c r="P43" s="8">
        <f>S35</f>
        <v>0.20539370000000001</v>
      </c>
      <c r="S43" s="1"/>
      <c r="T43" s="8"/>
      <c r="U43" s="8"/>
      <c r="V43" s="8"/>
      <c r="W43" s="8"/>
      <c r="X43" s="8"/>
      <c r="Y43" s="8"/>
      <c r="Z43" s="1"/>
      <c r="AA43" s="29"/>
      <c r="AB43" s="29"/>
    </row>
    <row r="44" spans="1:37" ht="15.75" thickBot="1">
      <c r="A44" s="26"/>
      <c r="B44" s="96"/>
      <c r="C44" s="96"/>
      <c r="D44" s="96"/>
      <c r="E44" s="3"/>
      <c r="F44" s="3"/>
      <c r="G44" s="7"/>
      <c r="H44" s="7"/>
      <c r="I44" s="1"/>
      <c r="J44" s="1"/>
      <c r="K44" s="1"/>
      <c r="L44" s="1" t="s">
        <v>68</v>
      </c>
      <c r="M44" s="8">
        <f>N17</f>
        <v>1.6985759999999999E-9</v>
      </c>
      <c r="N44" s="34"/>
      <c r="O44" s="38" t="s">
        <v>114</v>
      </c>
      <c r="P44" s="8">
        <f>S36</f>
        <v>0.20397199999999999</v>
      </c>
      <c r="Q44" s="34"/>
      <c r="S44" s="98" t="s">
        <v>218</v>
      </c>
      <c r="T44" s="1">
        <v>1</v>
      </c>
      <c r="U44" s="1">
        <v>2</v>
      </c>
      <c r="V44" s="1">
        <v>3</v>
      </c>
      <c r="W44" s="1">
        <v>4</v>
      </c>
      <c r="X44" s="1">
        <v>5</v>
      </c>
      <c r="Y44" s="1">
        <v>6</v>
      </c>
      <c r="Z44" s="29"/>
      <c r="AA44" s="29"/>
      <c r="AB44" s="29"/>
      <c r="AE44" s="118" t="s">
        <v>225</v>
      </c>
      <c r="AF44" s="1">
        <v>1</v>
      </c>
      <c r="AG44" s="1">
        <v>2</v>
      </c>
      <c r="AH44" s="1">
        <v>3</v>
      </c>
      <c r="AI44" s="1">
        <v>4</v>
      </c>
      <c r="AJ44" s="1">
        <v>5</v>
      </c>
      <c r="AK44" s="1">
        <v>6</v>
      </c>
    </row>
    <row r="45" spans="1:37">
      <c r="A45" s="26">
        <v>5</v>
      </c>
      <c r="B45" s="96">
        <v>3.5665750000000003E-2</v>
      </c>
      <c r="C45" s="96">
        <v>3.5622569999999999E-2</v>
      </c>
      <c r="D45" s="96">
        <v>3.569195E-2</v>
      </c>
      <c r="E45" s="3">
        <v>3.569638E-2</v>
      </c>
      <c r="F45" s="3">
        <v>5.0350390000000002E-2</v>
      </c>
      <c r="G45" s="7"/>
      <c r="H45" s="7"/>
      <c r="I45" s="29"/>
      <c r="J45" s="29"/>
      <c r="K45" s="29"/>
      <c r="L45" s="1" t="s">
        <v>115</v>
      </c>
      <c r="M45" s="8">
        <f>N18</f>
        <v>1.238033E-9</v>
      </c>
      <c r="N45" s="1"/>
      <c r="O45" s="38" t="s">
        <v>116</v>
      </c>
      <c r="P45" s="8">
        <f>S37</f>
        <v>0.16735169999999999</v>
      </c>
      <c r="Q45" s="1"/>
      <c r="S45" s="1">
        <v>1</v>
      </c>
      <c r="T45" s="100">
        <f>M41</f>
        <v>4.577471333333333E-9</v>
      </c>
      <c r="U45" s="101">
        <f>T46</f>
        <v>2.3356713333333335E-9</v>
      </c>
      <c r="V45" s="101">
        <f>T47</f>
        <v>2.3356713333333335E-9</v>
      </c>
      <c r="W45" s="102">
        <f>T48</f>
        <v>7.6307088888888899E-10</v>
      </c>
      <c r="X45" s="102">
        <f>T49</f>
        <v>7.6307088888888899E-10</v>
      </c>
      <c r="Y45" s="103">
        <f>T50</f>
        <v>7.6307088888888899E-10</v>
      </c>
      <c r="Z45" s="29"/>
      <c r="AA45" s="29"/>
      <c r="AB45" s="29"/>
      <c r="AE45" s="1">
        <v>1</v>
      </c>
      <c r="AF45" s="100">
        <f t="shared" ref="AF45:AK50" si="2">T53*2*PI()*$AG$42</f>
        <v>0.48186007367645894</v>
      </c>
      <c r="AG45" s="101">
        <f t="shared" si="2"/>
        <v>0.22111025343050794</v>
      </c>
      <c r="AH45" s="101">
        <f t="shared" si="2"/>
        <v>0.22111025343050794</v>
      </c>
      <c r="AI45" s="102">
        <f t="shared" si="2"/>
        <v>0.17286121267628671</v>
      </c>
      <c r="AJ45" s="112">
        <f t="shared" si="2"/>
        <v>0.17286121267628671</v>
      </c>
      <c r="AK45" s="113">
        <f t="shared" si="2"/>
        <v>0.17286121267628671</v>
      </c>
    </row>
    <row r="46" spans="1:37">
      <c r="A46" s="26"/>
      <c r="B46" s="96">
        <v>0.15995860000000001</v>
      </c>
      <c r="C46" s="96">
        <v>0.168184</v>
      </c>
      <c r="D46" s="96">
        <v>0.1849741</v>
      </c>
      <c r="E46" s="3">
        <v>0.20539370000000001</v>
      </c>
      <c r="F46" s="3">
        <v>0.48898330000000001</v>
      </c>
      <c r="G46" s="7"/>
      <c r="H46" s="7"/>
      <c r="I46" s="29"/>
      <c r="J46" s="29"/>
      <c r="K46" s="29"/>
      <c r="L46" s="1" t="s">
        <v>117</v>
      </c>
      <c r="M46" s="8">
        <f>N19</f>
        <v>4.5771940000000001E-10</v>
      </c>
      <c r="N46" s="1"/>
      <c r="O46" s="38" t="s">
        <v>118</v>
      </c>
      <c r="P46" s="8">
        <f>S38</f>
        <v>0.15995860000000001</v>
      </c>
      <c r="Q46" s="1"/>
      <c r="S46" s="1">
        <v>2</v>
      </c>
      <c r="T46" s="104">
        <f>M60</f>
        <v>2.3356713333333335E-9</v>
      </c>
      <c r="U46" s="58">
        <f>M41</f>
        <v>4.577471333333333E-9</v>
      </c>
      <c r="V46" s="59">
        <f>U47</f>
        <v>2.3356713333333335E-9</v>
      </c>
      <c r="W46" s="60">
        <f>U48</f>
        <v>7.6307088888888899E-10</v>
      </c>
      <c r="X46" s="60">
        <f>U49</f>
        <v>7.6307088888888899E-10</v>
      </c>
      <c r="Y46" s="105">
        <f>U50</f>
        <v>7.6307088888888899E-10</v>
      </c>
      <c r="Z46" s="29"/>
      <c r="AA46" s="29"/>
      <c r="AB46" s="29"/>
      <c r="AE46" s="1">
        <v>2</v>
      </c>
      <c r="AF46" s="104">
        <f t="shared" si="2"/>
        <v>0.22111025343050794</v>
      </c>
      <c r="AG46" s="58">
        <f t="shared" si="2"/>
        <v>0.48186007367645894</v>
      </c>
      <c r="AH46" s="59">
        <f t="shared" si="2"/>
        <v>0.22111025343050794</v>
      </c>
      <c r="AI46" s="61">
        <f t="shared" si="2"/>
        <v>0.17286121267628671</v>
      </c>
      <c r="AJ46" s="60">
        <f t="shared" si="2"/>
        <v>0.17286121267628671</v>
      </c>
      <c r="AK46" s="114">
        <f t="shared" si="2"/>
        <v>0.17286121267628671</v>
      </c>
    </row>
    <row r="47" spans="1:37">
      <c r="A47" s="26"/>
      <c r="B47" s="96"/>
      <c r="C47" s="96"/>
      <c r="D47" s="96"/>
      <c r="E47" s="3"/>
      <c r="F47" s="3"/>
      <c r="G47" s="7"/>
      <c r="H47" s="7"/>
      <c r="I47" s="29"/>
      <c r="J47" s="29"/>
      <c r="K47" s="29"/>
      <c r="L47" s="1" t="s">
        <v>119</v>
      </c>
      <c r="M47" s="8">
        <f>N20</f>
        <v>7.7600820000000004E-10</v>
      </c>
      <c r="N47" s="1"/>
      <c r="O47" s="38" t="s">
        <v>120</v>
      </c>
      <c r="P47" s="8">
        <f>S39</f>
        <v>0.17365050000000001</v>
      </c>
      <c r="Q47" s="1"/>
      <c r="S47" s="1">
        <v>3</v>
      </c>
      <c r="T47" s="104">
        <f>M60</f>
        <v>2.3356713333333335E-9</v>
      </c>
      <c r="U47" s="59">
        <f>M60</f>
        <v>2.3356713333333335E-9</v>
      </c>
      <c r="V47" s="58">
        <f>M41</f>
        <v>4.577471333333333E-9</v>
      </c>
      <c r="W47" s="60">
        <f>V48</f>
        <v>7.6307088888888899E-10</v>
      </c>
      <c r="X47" s="60">
        <f>V49</f>
        <v>7.6307088888888899E-10</v>
      </c>
      <c r="Y47" s="105">
        <f>V50</f>
        <v>7.6307088888888899E-10</v>
      </c>
      <c r="Z47" s="29"/>
      <c r="AA47" s="29" t="s">
        <v>174</v>
      </c>
      <c r="AB47" s="29"/>
      <c r="AE47" s="1">
        <v>3</v>
      </c>
      <c r="AF47" s="104">
        <f t="shared" si="2"/>
        <v>0.22111025343050794</v>
      </c>
      <c r="AG47" s="59">
        <f t="shared" si="2"/>
        <v>0.22111025343050794</v>
      </c>
      <c r="AH47" s="58">
        <f t="shared" si="2"/>
        <v>0.48186007367645894</v>
      </c>
      <c r="AI47" s="61">
        <f t="shared" si="2"/>
        <v>0.17286121267628671</v>
      </c>
      <c r="AJ47" s="61">
        <f t="shared" si="2"/>
        <v>0.17286121267628671</v>
      </c>
      <c r="AK47" s="105">
        <f t="shared" si="2"/>
        <v>0.17286121267628671</v>
      </c>
    </row>
    <row r="48" spans="1:37">
      <c r="A48" s="26">
        <v>6</v>
      </c>
      <c r="B48" s="96">
        <v>3.5774449999999999E-2</v>
      </c>
      <c r="C48" s="96">
        <v>3.569195E-2</v>
      </c>
      <c r="D48" s="96">
        <v>3.5767670000000001E-2</v>
      </c>
      <c r="E48" s="3">
        <v>3.5788269999999997E-2</v>
      </c>
      <c r="F48" s="3">
        <v>3.5715909999999997E-2</v>
      </c>
      <c r="G48" s="7">
        <v>5.0456510000000003E-2</v>
      </c>
      <c r="H48" s="7"/>
      <c r="I48" s="29"/>
      <c r="J48" s="29"/>
      <c r="K48" s="29"/>
      <c r="L48" s="1" t="s">
        <v>69</v>
      </c>
      <c r="M48" s="8">
        <f>P17</f>
        <v>3.408687E-9</v>
      </c>
      <c r="N48" s="1"/>
      <c r="O48" s="38" t="s">
        <v>121</v>
      </c>
      <c r="P48" s="8">
        <f>T36</f>
        <v>0.25396449999999998</v>
      </c>
      <c r="Q48" s="1"/>
      <c r="S48" s="1">
        <v>4</v>
      </c>
      <c r="T48" s="106">
        <f>M62</f>
        <v>7.6307088888888899E-10</v>
      </c>
      <c r="U48" s="60">
        <f>M62</f>
        <v>7.6307088888888899E-10</v>
      </c>
      <c r="V48" s="60">
        <f>M62</f>
        <v>7.6307088888888899E-10</v>
      </c>
      <c r="W48" s="58">
        <f>M41</f>
        <v>4.577471333333333E-9</v>
      </c>
      <c r="X48" s="59">
        <f>W49</f>
        <v>2.3356713333333335E-9</v>
      </c>
      <c r="Y48" s="107">
        <f>W50</f>
        <v>2.3356713333333335E-9</v>
      </c>
      <c r="AA48" t="s">
        <v>177</v>
      </c>
      <c r="AE48" s="1">
        <v>4</v>
      </c>
      <c r="AF48" s="106">
        <f t="shared" si="2"/>
        <v>0.17286121267628671</v>
      </c>
      <c r="AG48" s="60">
        <f t="shared" si="2"/>
        <v>0.17286121267628671</v>
      </c>
      <c r="AH48" s="60">
        <f t="shared" si="2"/>
        <v>0.17286121267628671</v>
      </c>
      <c r="AI48" s="58">
        <f t="shared" si="2"/>
        <v>0.48186007367645894</v>
      </c>
      <c r="AJ48" s="59">
        <f t="shared" si="2"/>
        <v>0.22111025343050794</v>
      </c>
      <c r="AK48" s="107">
        <f t="shared" si="2"/>
        <v>0.22111025343050794</v>
      </c>
    </row>
    <row r="49" spans="1:37" ht="15.75" thickBot="1">
      <c r="A49" s="26"/>
      <c r="B49" s="96">
        <v>0.17365050000000001</v>
      </c>
      <c r="C49" s="96">
        <v>0.1849741</v>
      </c>
      <c r="D49" s="96">
        <v>0.20911930000000001</v>
      </c>
      <c r="E49" s="3">
        <v>0.20397199999999999</v>
      </c>
      <c r="F49" s="3">
        <v>0.25396449999999998</v>
      </c>
      <c r="G49" s="7">
        <v>0.48643799999999998</v>
      </c>
      <c r="H49" s="7"/>
      <c r="L49" s="1" t="s">
        <v>122</v>
      </c>
      <c r="M49" s="8">
        <f>P18</f>
        <v>4.5771940000000001E-10</v>
      </c>
      <c r="N49" s="1"/>
      <c r="O49" s="38" t="s">
        <v>123</v>
      </c>
      <c r="P49" s="8">
        <f>T37</f>
        <v>0.15995860000000001</v>
      </c>
      <c r="Q49" s="1"/>
      <c r="S49" s="1">
        <v>5</v>
      </c>
      <c r="T49" s="106">
        <f>M62</f>
        <v>7.6307088888888899E-10</v>
      </c>
      <c r="U49" s="60">
        <f>M62</f>
        <v>7.6307088888888899E-10</v>
      </c>
      <c r="V49" s="60">
        <f>M62</f>
        <v>7.6307088888888899E-10</v>
      </c>
      <c r="W49" s="59">
        <f>M60</f>
        <v>2.3356713333333335E-9</v>
      </c>
      <c r="X49" s="58">
        <f>M41</f>
        <v>4.577471333333333E-9</v>
      </c>
      <c r="Y49" s="107">
        <f>X50</f>
        <v>2.3356713333333335E-9</v>
      </c>
      <c r="AA49" t="s">
        <v>178</v>
      </c>
      <c r="AB49">
        <f>(M46+M47+M49+M51+M52+M53)/6</f>
        <v>6.2682136666666667E-10</v>
      </c>
      <c r="AE49" s="1">
        <v>5</v>
      </c>
      <c r="AF49" s="106">
        <f t="shared" si="2"/>
        <v>0.17286121267628671</v>
      </c>
      <c r="AG49" s="60">
        <f t="shared" si="2"/>
        <v>0.17286121267628671</v>
      </c>
      <c r="AH49" s="60">
        <f t="shared" si="2"/>
        <v>0.17286121267628671</v>
      </c>
      <c r="AI49" s="59">
        <f t="shared" si="2"/>
        <v>0.22111025343050794</v>
      </c>
      <c r="AJ49" s="58">
        <f t="shared" si="2"/>
        <v>0.48186007367645894</v>
      </c>
      <c r="AK49" s="107">
        <f t="shared" si="2"/>
        <v>0.22111025343050794</v>
      </c>
    </row>
    <row r="50" spans="1:37" ht="15.75" thickBot="1">
      <c r="A50" s="25"/>
      <c r="B50" s="2"/>
      <c r="C50" s="2"/>
      <c r="D50" s="2"/>
      <c r="E50" s="2"/>
      <c r="F50" s="2"/>
      <c r="G50" s="6"/>
      <c r="H50" s="6"/>
      <c r="L50" s="1" t="s">
        <v>124</v>
      </c>
      <c r="M50" s="8">
        <f>P19</f>
        <v>3.2111679999999999E-10</v>
      </c>
      <c r="N50" s="29"/>
      <c r="O50" s="38" t="s">
        <v>125</v>
      </c>
      <c r="P50" s="8">
        <f>T38</f>
        <v>0.168184</v>
      </c>
      <c r="Q50" s="29"/>
      <c r="S50" s="1">
        <v>6</v>
      </c>
      <c r="T50" s="108">
        <f>M62</f>
        <v>7.6307088888888899E-10</v>
      </c>
      <c r="U50" s="109">
        <f>M62</f>
        <v>7.6307088888888899E-10</v>
      </c>
      <c r="V50" s="109">
        <f>M62</f>
        <v>7.6307088888888899E-10</v>
      </c>
      <c r="W50" s="110">
        <f>M60</f>
        <v>2.3356713333333335E-9</v>
      </c>
      <c r="X50" s="110">
        <f>M60</f>
        <v>2.3356713333333335E-9</v>
      </c>
      <c r="Y50" s="111">
        <f>M41</f>
        <v>4.577471333333333E-9</v>
      </c>
      <c r="AA50" t="s">
        <v>179</v>
      </c>
      <c r="AB50">
        <f>(M45+M50+M54)/3</f>
        <v>1.0355699333333334E-9</v>
      </c>
      <c r="AE50" s="1">
        <v>6</v>
      </c>
      <c r="AF50" s="108">
        <f t="shared" si="2"/>
        <v>0.17286121267628671</v>
      </c>
      <c r="AG50" s="109">
        <f t="shared" si="2"/>
        <v>0.17286121267628671</v>
      </c>
      <c r="AH50" s="109">
        <f t="shared" si="2"/>
        <v>0.17286121267628671</v>
      </c>
      <c r="AI50" s="110">
        <f t="shared" si="2"/>
        <v>0.22111025343050794</v>
      </c>
      <c r="AJ50" s="110">
        <f t="shared" si="2"/>
        <v>0.22111025343050794</v>
      </c>
      <c r="AK50" s="111">
        <f t="shared" si="2"/>
        <v>0.48186007367645894</v>
      </c>
    </row>
    <row r="51" spans="1:37">
      <c r="A51" s="26"/>
      <c r="B51" s="3"/>
      <c r="C51" s="3"/>
      <c r="D51" s="3"/>
      <c r="E51" s="3"/>
      <c r="F51" s="3"/>
      <c r="G51" s="7"/>
      <c r="H51" s="7"/>
      <c r="L51" s="1" t="s">
        <v>126</v>
      </c>
      <c r="M51" s="8">
        <f>P20</f>
        <v>6.467365E-10</v>
      </c>
      <c r="N51" s="29"/>
      <c r="O51" s="38" t="s">
        <v>127</v>
      </c>
      <c r="P51" s="8">
        <f>T39</f>
        <v>0.1849741</v>
      </c>
      <c r="Q51" s="29"/>
      <c r="Y51" s="1"/>
    </row>
    <row r="52" spans="1:37" ht="15.75" thickBot="1">
      <c r="A52" s="4"/>
      <c r="B52" s="4"/>
      <c r="C52" s="4"/>
      <c r="D52" s="4"/>
      <c r="E52" s="4"/>
      <c r="F52" s="4"/>
      <c r="G52" s="12"/>
      <c r="H52" s="12"/>
      <c r="L52" s="1" t="s">
        <v>128</v>
      </c>
      <c r="M52" s="8">
        <f>R18</f>
        <v>7.7600820000000004E-10</v>
      </c>
      <c r="N52" s="29"/>
      <c r="O52" s="38" t="s">
        <v>129</v>
      </c>
      <c r="P52" s="8">
        <f>U37</f>
        <v>0.17365050000000001</v>
      </c>
      <c r="Q52" s="29"/>
      <c r="S52" s="98" t="s">
        <v>220</v>
      </c>
      <c r="T52" s="1">
        <v>1</v>
      </c>
      <c r="U52" s="1">
        <v>2</v>
      </c>
      <c r="V52" s="1">
        <v>3</v>
      </c>
      <c r="W52" s="1">
        <v>4</v>
      </c>
      <c r="X52" s="1">
        <v>5</v>
      </c>
      <c r="Y52" s="1">
        <v>6</v>
      </c>
    </row>
    <row r="53" spans="1:37">
      <c r="B53" s="74"/>
      <c r="C53" s="74"/>
      <c r="D53" s="74"/>
      <c r="E53" s="1"/>
      <c r="F53" s="1"/>
      <c r="G53" s="1"/>
      <c r="L53" s="1" t="s">
        <v>130</v>
      </c>
      <c r="M53" s="8">
        <f>R19</f>
        <v>6.467365E-10</v>
      </c>
      <c r="N53" s="29"/>
      <c r="O53" s="38" t="s">
        <v>131</v>
      </c>
      <c r="P53" s="8">
        <f>U38</f>
        <v>0.1849741</v>
      </c>
      <c r="Q53" s="29"/>
      <c r="S53" s="1">
        <v>1</v>
      </c>
      <c r="T53" s="100">
        <f>P41</f>
        <v>1.5338082520846665E-3</v>
      </c>
      <c r="U53" s="101">
        <f>T54</f>
        <v>7.0381579603534094E-4</v>
      </c>
      <c r="V53" s="101">
        <f>T55</f>
        <v>7.0381579603534094E-4</v>
      </c>
      <c r="W53" s="102">
        <f>T56</f>
        <v>5.5023432932580852E-4</v>
      </c>
      <c r="X53" s="112">
        <f>T57</f>
        <v>5.5023432932580852E-4</v>
      </c>
      <c r="Y53" s="113">
        <f>T58</f>
        <v>5.5023432932580852E-4</v>
      </c>
    </row>
    <row r="54" spans="1:37">
      <c r="B54" s="74"/>
      <c r="C54" s="74"/>
      <c r="D54" s="74"/>
      <c r="E54" s="1"/>
      <c r="F54" s="1"/>
      <c r="G54" s="1"/>
      <c r="L54" s="1" t="s">
        <v>132</v>
      </c>
      <c r="M54" s="8">
        <f>R20</f>
        <v>1.54756E-9</v>
      </c>
      <c r="O54" s="38" t="s">
        <v>133</v>
      </c>
      <c r="P54" s="8">
        <f>U39</f>
        <v>0.20911930000000001</v>
      </c>
      <c r="S54" s="1">
        <v>2</v>
      </c>
      <c r="T54" s="104">
        <f>P60</f>
        <v>7.0381579603534094E-4</v>
      </c>
      <c r="U54" s="58">
        <f>P41</f>
        <v>1.5338082520846665E-3</v>
      </c>
      <c r="V54" s="59">
        <f>U55</f>
        <v>7.0381579603534094E-4</v>
      </c>
      <c r="W54" s="61">
        <f>U56</f>
        <v>5.5023432932580852E-4</v>
      </c>
      <c r="X54" s="60">
        <f>U57</f>
        <v>5.5023432932580852E-4</v>
      </c>
      <c r="Y54" s="114">
        <f>U58</f>
        <v>5.5023432932580852E-4</v>
      </c>
    </row>
    <row r="55" spans="1:37">
      <c r="A55" s="29" t="s">
        <v>46</v>
      </c>
      <c r="B55" s="29"/>
      <c r="C55" s="29"/>
      <c r="D55" s="29"/>
      <c r="E55" s="29"/>
      <c r="F55" s="29"/>
      <c r="G55" s="29"/>
      <c r="L55" s="1" t="s">
        <v>134</v>
      </c>
      <c r="M55" s="8">
        <f>T19</f>
        <v>1.8997510000000001E-9</v>
      </c>
      <c r="O55" s="38" t="s">
        <v>135</v>
      </c>
      <c r="P55" s="8">
        <f>V38</f>
        <v>0.20539370000000001</v>
      </c>
      <c r="S55" s="1">
        <v>3</v>
      </c>
      <c r="T55" s="104">
        <f>P60</f>
        <v>7.0381579603534094E-4</v>
      </c>
      <c r="U55" s="59">
        <f>P60</f>
        <v>7.0381579603534094E-4</v>
      </c>
      <c r="V55" s="58">
        <f>P41</f>
        <v>1.5338082520846665E-3</v>
      </c>
      <c r="W55" s="61">
        <f>V56</f>
        <v>5.5023432932580852E-4</v>
      </c>
      <c r="X55" s="61">
        <f>V57</f>
        <v>5.5023432932580852E-4</v>
      </c>
      <c r="Y55" s="105">
        <f>V58</f>
        <v>5.5023432932580852E-4</v>
      </c>
    </row>
    <row r="56" spans="1:37">
      <c r="A56" s="74" t="s">
        <v>47</v>
      </c>
      <c r="B56" s="71"/>
      <c r="C56" s="71"/>
      <c r="D56" s="29"/>
      <c r="E56" s="29"/>
      <c r="F56" s="29"/>
      <c r="G56" s="29"/>
      <c r="L56" s="1" t="s">
        <v>136</v>
      </c>
      <c r="M56" s="8">
        <f>T20</f>
        <v>1.6985759999999999E-9</v>
      </c>
      <c r="O56" s="38" t="s">
        <v>137</v>
      </c>
      <c r="P56" s="8">
        <f>V39</f>
        <v>0.20397199999999999</v>
      </c>
      <c r="S56" s="1">
        <v>4</v>
      </c>
      <c r="T56" s="106">
        <f>P62</f>
        <v>5.5023432932580852E-4</v>
      </c>
      <c r="U56" s="60">
        <f>P62</f>
        <v>5.5023432932580852E-4</v>
      </c>
      <c r="V56" s="60">
        <f>P62</f>
        <v>5.5023432932580852E-4</v>
      </c>
      <c r="W56" s="58">
        <f>P41</f>
        <v>1.5338082520846665E-3</v>
      </c>
      <c r="X56" s="59">
        <f>W57</f>
        <v>7.0381579603534094E-4</v>
      </c>
      <c r="Y56" s="107">
        <f>W58</f>
        <v>7.0381579603534094E-4</v>
      </c>
      <c r="AA56" t="s">
        <v>174</v>
      </c>
    </row>
    <row r="57" spans="1:37">
      <c r="A57" s="74" t="s">
        <v>48</v>
      </c>
      <c r="B57" s="71"/>
      <c r="C57" s="71"/>
      <c r="D57" s="29"/>
      <c r="E57" s="29"/>
      <c r="F57" s="29"/>
      <c r="G57" s="29"/>
      <c r="L57" s="1" t="s">
        <v>138</v>
      </c>
      <c r="M57" s="8">
        <f>V20</f>
        <v>3.408687E-9</v>
      </c>
      <c r="O57" s="38" t="s">
        <v>139</v>
      </c>
      <c r="P57" s="8">
        <f>W39</f>
        <v>0.25396449999999998</v>
      </c>
      <c r="S57" s="1">
        <v>5</v>
      </c>
      <c r="T57" s="106">
        <f>P62</f>
        <v>5.5023432932580852E-4</v>
      </c>
      <c r="U57" s="60">
        <f>P62</f>
        <v>5.5023432932580852E-4</v>
      </c>
      <c r="V57" s="60">
        <f>P62</f>
        <v>5.5023432932580852E-4</v>
      </c>
      <c r="W57" s="59">
        <f>P60</f>
        <v>7.0381579603534094E-4</v>
      </c>
      <c r="X57" s="58">
        <f>P41</f>
        <v>1.5338082520846665E-3</v>
      </c>
      <c r="Y57" s="107">
        <f>X58</f>
        <v>7.0381579603534094E-4</v>
      </c>
      <c r="AA57" t="s">
        <v>175</v>
      </c>
    </row>
    <row r="58" spans="1:37" ht="15.75" thickBot="1">
      <c r="A58" s="29"/>
      <c r="B58" s="71"/>
      <c r="C58" s="71"/>
      <c r="D58" s="29"/>
      <c r="E58" s="29"/>
      <c r="F58" s="29"/>
      <c r="G58" s="29"/>
      <c r="S58" s="1">
        <v>6</v>
      </c>
      <c r="T58" s="108">
        <f>P62</f>
        <v>5.5023432932580852E-4</v>
      </c>
      <c r="U58" s="109">
        <f>P62</f>
        <v>5.5023432932580852E-4</v>
      </c>
      <c r="V58" s="109">
        <f>P62</f>
        <v>5.5023432932580852E-4</v>
      </c>
      <c r="W58" s="110">
        <f>P60</f>
        <v>7.0381579603534094E-4</v>
      </c>
      <c r="X58" s="110">
        <f>P60</f>
        <v>7.0381579603534094E-4</v>
      </c>
      <c r="Y58" s="111">
        <f>P41</f>
        <v>1.5338082520846665E-3</v>
      </c>
      <c r="AA58" t="s">
        <v>176</v>
      </c>
      <c r="AB58">
        <f>(3*T56+6*T57)/9</f>
        <v>5.5023432932580852E-4</v>
      </c>
    </row>
    <row r="59" spans="1:37">
      <c r="A59" s="70" t="s">
        <v>46</v>
      </c>
      <c r="L59" s="41" t="s">
        <v>140</v>
      </c>
      <c r="M59" s="42">
        <f>AVERAGE(M43:M57)</f>
        <v>1.3921110666666667E-9</v>
      </c>
      <c r="N59" s="43"/>
      <c r="O59" s="44" t="s">
        <v>141</v>
      </c>
      <c r="P59" s="42">
        <f>AVERAGE(P43:P57)</f>
        <v>0.19389878666666666</v>
      </c>
      <c r="Q59" s="62"/>
    </row>
    <row r="60" spans="1:37" ht="15.75" thickBot="1">
      <c r="A60" s="74" t="s">
        <v>158</v>
      </c>
      <c r="L60" s="45" t="s">
        <v>142</v>
      </c>
      <c r="M60" s="46">
        <f>AVERAGE(M55,M56,M57)</f>
        <v>2.3356713333333335E-9</v>
      </c>
      <c r="N60" s="47" t="s">
        <v>143</v>
      </c>
      <c r="O60" s="48" t="s">
        <v>144</v>
      </c>
      <c r="P60" s="46">
        <f>AVERAGE(P43,P44,P48)/2/3.14159/M72</f>
        <v>7.0381579603534094E-4</v>
      </c>
      <c r="Q60" s="63" t="s">
        <v>145</v>
      </c>
      <c r="S60" s="98" t="s">
        <v>219</v>
      </c>
      <c r="T60" s="1">
        <v>1</v>
      </c>
      <c r="U60" s="1">
        <v>2</v>
      </c>
      <c r="V60" s="1">
        <v>3</v>
      </c>
      <c r="W60" s="1">
        <v>4</v>
      </c>
      <c r="X60" s="1">
        <v>5</v>
      </c>
      <c r="Y60" s="1">
        <v>6</v>
      </c>
    </row>
    <row r="61" spans="1:37">
      <c r="A61" s="74" t="s">
        <v>159</v>
      </c>
      <c r="L61" s="45" t="s">
        <v>146</v>
      </c>
      <c r="M61" s="49">
        <f>AVERAGE(M43,M44,M48)</f>
        <v>2.3356713333333335E-9</v>
      </c>
      <c r="N61" s="50" t="s">
        <v>147</v>
      </c>
      <c r="O61" s="48" t="s">
        <v>148</v>
      </c>
      <c r="P61" s="49">
        <f>AVERAGE(P55:P57)/2/3.14159/M72</f>
        <v>7.0381579603534094E-4</v>
      </c>
      <c r="Q61" s="64" t="s">
        <v>149</v>
      </c>
      <c r="S61" s="1">
        <v>1</v>
      </c>
      <c r="T61" s="100">
        <f>M30</f>
        <v>5.0519150000000006E-2</v>
      </c>
      <c r="U61" s="115">
        <f>T62</f>
        <v>3.5796322000000005E-2</v>
      </c>
      <c r="V61" s="115">
        <f>T63</f>
        <v>3.5796322000000005E-2</v>
      </c>
      <c r="W61" s="115">
        <f>T64</f>
        <v>3.5796322000000005E-2</v>
      </c>
      <c r="X61" s="115">
        <f>T65</f>
        <v>3.5796322000000005E-2</v>
      </c>
      <c r="Y61" s="116">
        <f>T66</f>
        <v>3.5796322000000005E-2</v>
      </c>
    </row>
    <row r="62" spans="1:37">
      <c r="L62" s="51" t="s">
        <v>150</v>
      </c>
      <c r="M62" s="46">
        <f>AVERAGE(M45,M46,M47,M49,M50,M51,M52,M53,M54)</f>
        <v>7.6307088888888899E-10</v>
      </c>
      <c r="N62" s="52" t="s">
        <v>151</v>
      </c>
      <c r="O62" s="48" t="s">
        <v>152</v>
      </c>
      <c r="P62" s="46">
        <f>AVERAGE(P46:P47,P51:P53,P49)/2/3.14159/P33</f>
        <v>5.5023432932580852E-4</v>
      </c>
      <c r="Q62" s="65" t="s">
        <v>153</v>
      </c>
      <c r="S62" s="1">
        <v>2</v>
      </c>
      <c r="T62" s="104">
        <f>$M$31</f>
        <v>3.5796322000000005E-2</v>
      </c>
      <c r="U62" s="58">
        <f>M30</f>
        <v>5.0519150000000006E-2</v>
      </c>
      <c r="V62" s="34">
        <f>U63</f>
        <v>3.5796322000000005E-2</v>
      </c>
      <c r="W62" s="34">
        <f>U64</f>
        <v>3.5796322000000005E-2</v>
      </c>
      <c r="X62" s="34">
        <f>U65</f>
        <v>3.5796322000000005E-2</v>
      </c>
      <c r="Y62" s="56">
        <f>U66</f>
        <v>3.5796322000000005E-2</v>
      </c>
    </row>
    <row r="63" spans="1:37">
      <c r="L63" s="53" t="s">
        <v>173</v>
      </c>
      <c r="M63" s="17">
        <f>M60+M62</f>
        <v>3.0987422222222227E-9</v>
      </c>
      <c r="N63" s="17"/>
      <c r="O63" s="50" t="s">
        <v>208</v>
      </c>
      <c r="P63" s="46">
        <f>AVERAGE(P45,P50,P54)/2/3.14159/P33</f>
        <v>5.7789739166048623E-4</v>
      </c>
      <c r="Q63" s="89" t="s">
        <v>207</v>
      </c>
      <c r="S63" s="1">
        <v>3</v>
      </c>
      <c r="T63" s="104">
        <f t="shared" ref="T63:X66" si="3">$M$31</f>
        <v>3.5796322000000005E-2</v>
      </c>
      <c r="U63" s="59">
        <f t="shared" si="3"/>
        <v>3.5796322000000005E-2</v>
      </c>
      <c r="V63" s="58">
        <f>M30</f>
        <v>5.0519150000000006E-2</v>
      </c>
      <c r="W63" s="34">
        <f>V64</f>
        <v>3.5796322000000005E-2</v>
      </c>
      <c r="X63" s="34">
        <f>V65</f>
        <v>3.5796322000000005E-2</v>
      </c>
      <c r="Y63" s="56">
        <f>V66</f>
        <v>3.5796322000000005E-2</v>
      </c>
    </row>
    <row r="64" spans="1:37">
      <c r="L64" s="54"/>
      <c r="M64" s="17"/>
      <c r="N64" s="17"/>
      <c r="O64" s="17"/>
      <c r="P64" s="17"/>
      <c r="Q64" s="46"/>
      <c r="S64" s="1">
        <v>4</v>
      </c>
      <c r="T64" s="104">
        <f t="shared" si="3"/>
        <v>3.5796322000000005E-2</v>
      </c>
      <c r="U64" s="59">
        <f t="shared" si="3"/>
        <v>3.5796322000000005E-2</v>
      </c>
      <c r="V64" s="59">
        <f t="shared" si="3"/>
        <v>3.5796322000000005E-2</v>
      </c>
      <c r="W64" s="58">
        <f>M30</f>
        <v>5.0519150000000006E-2</v>
      </c>
      <c r="X64" s="34">
        <f>W65</f>
        <v>3.5796322000000005E-2</v>
      </c>
      <c r="Y64" s="56">
        <f>W66</f>
        <v>3.5796322000000005E-2</v>
      </c>
    </row>
    <row r="65" spans="12:26">
      <c r="L65" s="54" t="s">
        <v>154</v>
      </c>
      <c r="M65" s="80">
        <f>(M41+3*M63)</f>
        <v>1.3873698000000002E-8</v>
      </c>
      <c r="N65" s="17"/>
      <c r="O65" s="77" t="s">
        <v>163</v>
      </c>
      <c r="P65" s="80">
        <f>T53-0.5*T54-0.5*T55+T56-0.5*T57-0.5*T58</f>
        <v>8.2999245604932557E-4</v>
      </c>
      <c r="Q65" s="82">
        <f>P65*2*3.14159*M72</f>
        <v>0.26074960000000008</v>
      </c>
      <c r="S65" s="1">
        <v>5</v>
      </c>
      <c r="T65" s="104">
        <f t="shared" si="3"/>
        <v>3.5796322000000005E-2</v>
      </c>
      <c r="U65" s="59">
        <f t="shared" si="3"/>
        <v>3.5796322000000005E-2</v>
      </c>
      <c r="V65" s="59">
        <f t="shared" si="3"/>
        <v>3.5796322000000005E-2</v>
      </c>
      <c r="W65" s="59">
        <f t="shared" si="3"/>
        <v>3.5796322000000005E-2</v>
      </c>
      <c r="X65" s="58">
        <f>M30</f>
        <v>5.0519150000000006E-2</v>
      </c>
      <c r="Y65" s="56">
        <f>X66</f>
        <v>3.5796322000000005E-2</v>
      </c>
    </row>
    <row r="66" spans="12:26" ht="15.75" thickBot="1">
      <c r="L66" s="66" t="s">
        <v>155</v>
      </c>
      <c r="M66" s="81">
        <f>M41</f>
        <v>4.577471333333333E-9</v>
      </c>
      <c r="N66" s="67"/>
      <c r="O66" s="68" t="s">
        <v>156</v>
      </c>
      <c r="P66" s="83">
        <f>M32</f>
        <v>1.4722828E-2</v>
      </c>
      <c r="Q66" s="69"/>
      <c r="S66" s="1">
        <v>6</v>
      </c>
      <c r="T66" s="117">
        <f t="shared" si="3"/>
        <v>3.5796322000000005E-2</v>
      </c>
      <c r="U66" s="110">
        <f t="shared" si="3"/>
        <v>3.5796322000000005E-2</v>
      </c>
      <c r="V66" s="110">
        <f t="shared" si="3"/>
        <v>3.5796322000000005E-2</v>
      </c>
      <c r="W66" s="110">
        <f t="shared" si="3"/>
        <v>3.5796322000000005E-2</v>
      </c>
      <c r="X66" s="110">
        <f t="shared" si="3"/>
        <v>3.5796322000000005E-2</v>
      </c>
      <c r="Y66" s="111">
        <f>M30</f>
        <v>5.0519150000000006E-2</v>
      </c>
    </row>
    <row r="68" spans="12:26">
      <c r="L68" s="78"/>
      <c r="M68" s="78" t="s">
        <v>164</v>
      </c>
      <c r="N68" s="78" t="s">
        <v>165</v>
      </c>
      <c r="O68" s="78"/>
    </row>
    <row r="69" spans="12:26">
      <c r="L69" s="78" t="s">
        <v>166</v>
      </c>
      <c r="M69" s="92">
        <f>M73*M73*2*3.14159*M72*M62*6+M73*M73*2*3.14159*M72*M60*6+M73*M73/3*2*3.14159*M72*M66*6</f>
        <v>1394735.0687942402</v>
      </c>
      <c r="N69" s="78">
        <f>M69/2</f>
        <v>697367.53439712012</v>
      </c>
      <c r="O69" s="78"/>
      <c r="P69" s="86" t="s">
        <v>169</v>
      </c>
      <c r="Q69" s="78"/>
      <c r="R69" s="78"/>
      <c r="S69" s="78"/>
      <c r="T69" s="78"/>
    </row>
    <row r="70" spans="12:26">
      <c r="L70" s="78" t="s">
        <v>70</v>
      </c>
      <c r="M70" s="78">
        <f>M73*M73/3*2*3.14159*M72*M66*6</f>
        <v>460177.22131477331</v>
      </c>
      <c r="N70" s="78">
        <f>M70/2</f>
        <v>230088.61065738666</v>
      </c>
      <c r="O70" s="78"/>
      <c r="P70" s="78"/>
      <c r="Q70" s="78"/>
      <c r="R70" s="78"/>
      <c r="S70" s="78"/>
      <c r="T70" s="78"/>
    </row>
    <row r="71" spans="12:26">
      <c r="L71" s="78" t="s">
        <v>167</v>
      </c>
      <c r="M71" s="78">
        <f>$N$69/3/$M$73*1.73205</f>
        <v>1.0065628649604432</v>
      </c>
      <c r="N71" s="79" t="s">
        <v>168</v>
      </c>
      <c r="O71" s="78">
        <f>M71*3</f>
        <v>3.0196885948813295</v>
      </c>
    </row>
    <row r="72" spans="12:26">
      <c r="L72" s="88" t="s">
        <v>71</v>
      </c>
      <c r="M72" s="78">
        <f>P33</f>
        <v>50</v>
      </c>
      <c r="N72" s="91" t="s">
        <v>216</v>
      </c>
      <c r="O72" s="78"/>
      <c r="Q72" s="8"/>
    </row>
    <row r="73" spans="12:26">
      <c r="L73" s="78" t="s">
        <v>73</v>
      </c>
      <c r="M73" s="78">
        <v>400000</v>
      </c>
      <c r="N73" s="78"/>
      <c r="O73" s="78"/>
    </row>
    <row r="75" spans="12:26" ht="15.75" thickBot="1">
      <c r="S75" t="s">
        <v>215</v>
      </c>
    </row>
    <row r="76" spans="12:26">
      <c r="L76" t="s">
        <v>180</v>
      </c>
      <c r="S76" s="90" t="s">
        <v>181</v>
      </c>
      <c r="T76" s="14">
        <f>V81+5*T81</f>
        <v>0.22950076000000003</v>
      </c>
      <c r="U76" s="72" t="s">
        <v>52</v>
      </c>
      <c r="V76" s="14">
        <f>V81-T81</f>
        <v>1.4722828E-2</v>
      </c>
      <c r="W76" s="72" t="s">
        <v>182</v>
      </c>
      <c r="X76" s="14">
        <f>T81*3</f>
        <v>0.10738896600000002</v>
      </c>
      <c r="Y76" s="72"/>
      <c r="Z76" s="73"/>
    </row>
    <row r="77" spans="12:26">
      <c r="L77" t="s">
        <v>183</v>
      </c>
      <c r="M77" s="85">
        <f>T53+T54+T55</f>
        <v>2.9414398441553486E-3</v>
      </c>
      <c r="N77">
        <f>M77*314.159</f>
        <v>0.92407980000000012</v>
      </c>
      <c r="O77" t="s">
        <v>72</v>
      </c>
      <c r="P77" s="85">
        <f>T61+T62+T63</f>
        <v>0.12211179400000001</v>
      </c>
      <c r="S77" s="9" t="s">
        <v>184</v>
      </c>
      <c r="T77" s="16">
        <f>T87+X77</f>
        <v>4.6198058944674518E-3</v>
      </c>
      <c r="U77" s="17" t="s">
        <v>185</v>
      </c>
      <c r="V77" s="16">
        <f>W87+Z77</f>
        <v>8.5765551838400329E-4</v>
      </c>
      <c r="W77" s="17" t="s">
        <v>186</v>
      </c>
      <c r="X77" s="16">
        <f>2*V82+X82</f>
        <v>1.6783660503121032E-3</v>
      </c>
      <c r="Y77" s="17" t="s">
        <v>187</v>
      </c>
      <c r="Z77" s="21">
        <f>X82-V82</f>
        <v>2.7663062334677712E-5</v>
      </c>
    </row>
    <row r="78" spans="12:26" ht="15.75" thickBot="1">
      <c r="L78" t="s">
        <v>188</v>
      </c>
      <c r="M78" s="85">
        <f>W56+W57+W58</f>
        <v>2.9414398441553486E-3</v>
      </c>
      <c r="N78">
        <f>M78*314.159</f>
        <v>0.92407980000000012</v>
      </c>
      <c r="O78" t="s">
        <v>74</v>
      </c>
      <c r="P78" s="85">
        <f>W64+W65+W66</f>
        <v>0.12211179400000001</v>
      </c>
      <c r="S78" s="10" t="s">
        <v>189</v>
      </c>
      <c r="T78" s="19">
        <f>T88-X78</f>
        <v>4.577471333333333E-9</v>
      </c>
      <c r="U78" s="18" t="s">
        <v>190</v>
      </c>
      <c r="V78" s="19">
        <f>W88-Z78</f>
        <v>1.3464949433333333E-8</v>
      </c>
      <c r="W78" s="18" t="s">
        <v>191</v>
      </c>
      <c r="X78" s="19">
        <f>V83*2+X83</f>
        <v>2.2892126666666668E-9</v>
      </c>
      <c r="Y78" s="18" t="s">
        <v>192</v>
      </c>
      <c r="Z78" s="23">
        <f>X83-V83</f>
        <v>4.0874856666666675E-10</v>
      </c>
    </row>
    <row r="79" spans="12:26">
      <c r="L79" t="s">
        <v>193</v>
      </c>
    </row>
    <row r="80" spans="12:26" ht="15.75" thickBot="1">
      <c r="L80" t="s">
        <v>194</v>
      </c>
      <c r="M80" s="8">
        <f>X77</f>
        <v>1.6783660503121032E-3</v>
      </c>
      <c r="N80" s="8">
        <f>X77*2*PI()*M72</f>
        <v>0.52727424536950207</v>
      </c>
      <c r="O80" t="s">
        <v>195</v>
      </c>
      <c r="P80" s="8">
        <f>T81*3</f>
        <v>0.10738896600000002</v>
      </c>
      <c r="S80" t="s">
        <v>215</v>
      </c>
    </row>
    <row r="81" spans="13:28">
      <c r="S81" s="90" t="s">
        <v>196</v>
      </c>
      <c r="T81" s="14">
        <f>T62</f>
        <v>3.5796322000000005E-2</v>
      </c>
      <c r="U81" s="72" t="s">
        <v>197</v>
      </c>
      <c r="V81" s="14">
        <f>T61</f>
        <v>5.0519150000000006E-2</v>
      </c>
      <c r="W81" s="72"/>
      <c r="X81" s="72"/>
      <c r="Y81" s="72"/>
      <c r="Z81" s="72"/>
      <c r="AA81" s="72"/>
      <c r="AB81" s="73"/>
    </row>
    <row r="82" spans="13:28">
      <c r="S82" s="9" t="s">
        <v>198</v>
      </c>
      <c r="T82" s="16">
        <f>P60</f>
        <v>7.0381579603534094E-4</v>
      </c>
      <c r="U82" s="17" t="s">
        <v>199</v>
      </c>
      <c r="V82" s="16">
        <f>P62</f>
        <v>5.5023432932580852E-4</v>
      </c>
      <c r="W82" s="17" t="s">
        <v>200</v>
      </c>
      <c r="X82" s="16">
        <f>P63</f>
        <v>5.7789739166048623E-4</v>
      </c>
      <c r="Y82" s="17" t="s">
        <v>201</v>
      </c>
      <c r="Z82" s="16">
        <f>T53</f>
        <v>1.5338082520846665E-3</v>
      </c>
      <c r="AA82" s="17"/>
      <c r="AB82" s="22"/>
    </row>
    <row r="83" spans="13:28" ht="15.75" thickBot="1">
      <c r="S83" s="10" t="s">
        <v>202</v>
      </c>
      <c r="T83" s="19">
        <f>M60</f>
        <v>2.3356713333333335E-9</v>
      </c>
      <c r="U83" s="18" t="s">
        <v>203</v>
      </c>
      <c r="V83" s="19">
        <f>AB49</f>
        <v>6.2682136666666667E-10</v>
      </c>
      <c r="W83" s="18" t="s">
        <v>204</v>
      </c>
      <c r="X83" s="19">
        <f>AB50</f>
        <v>1.0355699333333334E-9</v>
      </c>
      <c r="Y83" s="18" t="s">
        <v>205</v>
      </c>
      <c r="Z83" s="19">
        <f>M66</f>
        <v>4.577471333333333E-9</v>
      </c>
      <c r="AA83" s="18" t="s">
        <v>206</v>
      </c>
      <c r="AB83" s="23">
        <f>Z83+T83*2+V83*2+X83</f>
        <v>1.1538026666666667E-8</v>
      </c>
    </row>
    <row r="84" spans="13:28">
      <c r="M84" t="s">
        <v>172</v>
      </c>
    </row>
    <row r="85" spans="13:28">
      <c r="M85">
        <v>1.3873698000000002E-8</v>
      </c>
    </row>
    <row r="86" spans="13:28">
      <c r="S86" s="91" t="s">
        <v>209</v>
      </c>
      <c r="T86" s="8">
        <f>V81+2*T81</f>
        <v>0.12211179400000002</v>
      </c>
      <c r="V86" s="91" t="s">
        <v>210</v>
      </c>
      <c r="W86" s="8">
        <f>V81-T81</f>
        <v>1.4722828E-2</v>
      </c>
    </row>
    <row r="87" spans="13:28">
      <c r="S87" s="91" t="s">
        <v>211</v>
      </c>
      <c r="T87" s="8">
        <f>Z82+2*T82</f>
        <v>2.9414398441553486E-3</v>
      </c>
      <c r="V87" s="91" t="s">
        <v>212</v>
      </c>
      <c r="W87" s="8">
        <f>Z82-T82</f>
        <v>8.2999245604932557E-4</v>
      </c>
    </row>
    <row r="88" spans="13:28">
      <c r="S88" s="91" t="s">
        <v>213</v>
      </c>
      <c r="T88" s="8">
        <f>AB83-2*T83</f>
        <v>6.8666839999999997E-9</v>
      </c>
      <c r="V88" s="91" t="s">
        <v>214</v>
      </c>
      <c r="W88" s="8">
        <f>AB83+T83</f>
        <v>1.3873698E-8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ATP-Cable_3phase_Bergeron</vt:lpstr>
      <vt:lpstr>ATP-Overheadline_6phase_Pi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Friedrich Schmidt</dc:creator>
  <cp:lastModifiedBy>Friedrich Schmidt</cp:lastModifiedBy>
  <dcterms:created xsi:type="dcterms:W3CDTF">2022-11-24T16:59:00Z</dcterms:created>
  <dcterms:modified xsi:type="dcterms:W3CDTF">2026-08-19T17:26:12Z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279AB78A43EE44DBA1543399CD9A49DA_13</vt:lpwstr>
  </property>
  <property fmtid="{D5CDD505-2E9C-101B-9397-08002B2CF9AE}" pid="3" name="KSOProductBuildVer">
    <vt:lpwstr>1033-12.2.0.20326</vt:lpwstr>
  </property>
</Properties>
</file>